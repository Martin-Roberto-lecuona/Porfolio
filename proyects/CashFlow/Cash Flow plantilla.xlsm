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tables/table4.xml" ContentType="application/vnd.openxmlformats-officedocument.spreadsheetml.tab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Cash flow\"/>
    </mc:Choice>
  </mc:AlternateContent>
  <xr:revisionPtr revIDLastSave="0" documentId="13_ncr:1_{2737F235-E5A2-40F0-80F9-329AF881043B}" xr6:coauthVersionLast="47" xr6:coauthVersionMax="47" xr10:uidLastSave="{00000000-0000-0000-0000-000000000000}"/>
  <bookViews>
    <workbookView xWindow="-120" yWindow="-120" windowWidth="29040" windowHeight="15720" tabRatio="763" firstSheet="1" activeTab="3" xr2:uid="{00000000-000D-0000-FFFF-FFFF00000000}"/>
  </bookViews>
  <sheets>
    <sheet name="Cognos_Office_Connection_Cache" sheetId="6" state="veryHidden" r:id="rId1"/>
    <sheet name="Dólar hoy " sheetId="7" r:id="rId2"/>
    <sheet name="Euro Blue" sheetId="12" r:id="rId3"/>
    <sheet name="2023" sheetId="1" r:id="rId4"/>
    <sheet name="Grafico Ganancias" sheetId="15" r:id="rId5"/>
    <sheet name="BILLETERAS" sheetId="16" r:id="rId6"/>
    <sheet name="validacion" sheetId="9" r:id="rId7"/>
    <sheet name="Inversiones" sheetId="13" r:id="rId8"/>
    <sheet name="Hide Data" sheetId="17" state="hidden" r:id="rId9"/>
    <sheet name="PICKLIST" sheetId="5" state="hidden" r:id="rId10"/>
  </sheets>
  <definedNames>
    <definedName name="DatosExternos_2" localSheetId="1" hidden="1">'Dólar hoy '!$A$1:$H$8</definedName>
    <definedName name="ExternalData_1" localSheetId="2" hidden="1">'Euro Blue'!$A$1:$C$3</definedName>
    <definedName name="ID" localSheetId="3" hidden="1">"1ed3d55d-425b-4328-9280-95aa23c57473"</definedName>
    <definedName name="ID" localSheetId="0" hidden="1">"8959ac9d-cdda-43c2-bd26-2a18ad16dcfb"</definedName>
    <definedName name="ID" localSheetId="9" hidden="1">"826e6460-08c9-408e-a6c6-37738b698684"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6" l="1"/>
  <c r="C6" i="16"/>
  <c r="D6" i="16"/>
  <c r="B7" i="16"/>
  <c r="C7" i="16"/>
  <c r="D7" i="16"/>
  <c r="B8" i="16"/>
  <c r="C8" i="16"/>
  <c r="D8" i="16"/>
  <c r="E8" i="16"/>
  <c r="F8" i="16" s="1"/>
  <c r="B9" i="16"/>
  <c r="C9" i="16"/>
  <c r="E9" i="16" s="1"/>
  <c r="F9" i="16" s="1"/>
  <c r="D9" i="16"/>
  <c r="B10" i="16"/>
  <c r="C10" i="16"/>
  <c r="D10" i="16"/>
  <c r="B11" i="16"/>
  <c r="C11" i="16"/>
  <c r="D11" i="16"/>
  <c r="B12" i="16"/>
  <c r="C12" i="16"/>
  <c r="D12" i="16"/>
  <c r="E12" i="16"/>
  <c r="F12" i="16" s="1"/>
  <c r="B13" i="16"/>
  <c r="C13" i="16"/>
  <c r="D13" i="16"/>
  <c r="E13" i="16"/>
  <c r="F13" i="16"/>
  <c r="B14" i="16"/>
  <c r="C14" i="16"/>
  <c r="D14" i="16"/>
  <c r="B15" i="16"/>
  <c r="C15" i="16"/>
  <c r="D15" i="16"/>
  <c r="B16" i="16"/>
  <c r="E16" i="16" s="1"/>
  <c r="F16" i="16" s="1"/>
  <c r="C16" i="16"/>
  <c r="D16" i="16"/>
  <c r="B17" i="16"/>
  <c r="C17" i="16"/>
  <c r="D17" i="16"/>
  <c r="B18" i="16"/>
  <c r="C18" i="16"/>
  <c r="D18" i="16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G2" i="9"/>
  <c r="H6" i="13"/>
  <c r="G6" i="13"/>
  <c r="G5" i="13"/>
  <c r="G4" i="13"/>
  <c r="C3" i="12"/>
  <c r="B3" i="12"/>
  <c r="A3" i="12"/>
  <c r="H5" i="13"/>
  <c r="H4" i="13"/>
  <c r="H3" i="13"/>
  <c r="G3" i="13"/>
  <c r="H2" i="13"/>
  <c r="G2" i="13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E10" i="16" l="1"/>
  <c r="F10" i="16" s="1"/>
  <c r="E14" i="16"/>
  <c r="F14" i="16" s="1"/>
  <c r="E18" i="16"/>
  <c r="F18" i="16" s="1"/>
  <c r="E11" i="16"/>
  <c r="F11" i="16" s="1"/>
  <c r="E15" i="16"/>
  <c r="F15" i="16" s="1"/>
  <c r="E17" i="16"/>
  <c r="F17" i="16" s="1"/>
  <c r="E7" i="16"/>
  <c r="F7" i="16" s="1"/>
  <c r="E6" i="16"/>
  <c r="F6" i="16" s="1"/>
  <c r="J1" i="13"/>
  <c r="O5" i="16" s="1"/>
  <c r="J2" i="13"/>
  <c r="B1" i="17"/>
  <c r="C15" i="7"/>
  <c r="B15" i="7"/>
  <c r="B1" i="5" a="1"/>
  <c r="B1" i="5" s="1"/>
  <c r="D15" i="7" l="1"/>
  <c r="N1" i="16" l="1"/>
  <c r="N3" i="16"/>
  <c r="N4" i="16"/>
  <c r="N2" i="16"/>
  <c r="F5" i="12" l="1"/>
  <c r="E5" i="12"/>
  <c r="C5" i="16" l="1"/>
  <c r="B5" i="16"/>
  <c r="C4" i="16"/>
  <c r="B4" i="16"/>
  <c r="C3" i="16"/>
  <c r="B3" i="16"/>
  <c r="C14" i="7"/>
  <c r="B14" i="7"/>
  <c r="D4" i="16" l="1"/>
  <c r="D5" i="16"/>
  <c r="E5" i="16" s="1"/>
  <c r="F5" i="16" s="1"/>
  <c r="J4" i="1"/>
  <c r="J3" i="1"/>
  <c r="O3" i="16" s="1"/>
  <c r="O4" i="16" l="1"/>
  <c r="L3" i="16"/>
  <c r="E4" i="16"/>
  <c r="F4" i="16" s="1"/>
  <c r="J3" i="16"/>
  <c r="J6" i="16"/>
  <c r="D3" i="16"/>
  <c r="E3" i="16" s="1"/>
  <c r="F3" i="16" s="1"/>
  <c r="J2" i="1"/>
  <c r="H2" i="9" l="1"/>
  <c r="I2" i="9" s="1"/>
  <c r="J1" i="1"/>
  <c r="O1" i="16" s="1"/>
  <c r="O2" i="16"/>
  <c r="O6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ólar hoy" description="Conexión a la consulta 'Dólar hoy' en el libro." type="5" refreshedVersion="7" background="1" refreshOnLoad="1" saveData="1">
    <dbPr connection="Provider=Microsoft.Mashup.OleDb.1;Data Source=$Workbook$;Location=&quot;Dólar hoy&quot;" command="SELECT * FROM [Dólar hoy]"/>
  </connection>
  <connection id="2" xr16:uid="{00000000-0015-0000-FFFF-FFFF01000000}" keepAlive="1" name="Consulta - Dólar hoy (2)" description="Conexión a la consulta 'Dólar hoy (2)' en el libro." type="5" refreshedVersion="8" background="1" refreshOnLoad="1" saveData="1">
    <dbPr connection="Provider=Microsoft.Mashup.OleDb.1;Data Source=$Workbook$;Location=Dólar hoy (2);Extended Properties=&quot;&quot;" command="SELECT * FROM [Dólar hoy (2)]"/>
  </connection>
  <connection id="3" xr16:uid="{5CA18579-AB77-42A5-AD50-48C9B5352776}" keepAlive="1" name="Query - Euro Blue (3)" description="Connection to the 'Euro Blue (3)' query in the workbook." type="5" refreshedVersion="8" background="1" saveData="1">
    <dbPr connection="Provider=Microsoft.Mashup.OleDb.1;Data Source=$Workbook$;Location=&quot;Euro Blue (3)&quot;;Extended Properties=&quot;&quot;" command="SELECT * FROM [Euro Blue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<sst xmlns="http://schemas.openxmlformats.org/spreadsheetml/2006/main" count="136" uniqueCount="111">
  <si>
    <t>FECHA</t>
  </si>
  <si>
    <t>ENTRADA</t>
  </si>
  <si>
    <t>SALIDA</t>
  </si>
  <si>
    <t>TOTAL</t>
  </si>
  <si>
    <t>MONEDA</t>
  </si>
  <si>
    <t>ORIGEN</t>
  </si>
  <si>
    <t>DESTINO</t>
  </si>
  <si>
    <t>ARG</t>
  </si>
  <si>
    <t>Destinos</t>
  </si>
  <si>
    <t>USD</t>
  </si>
  <si>
    <t>TOTAL (ARG)</t>
  </si>
  <si>
    <t>Trans interna</t>
  </si>
  <si>
    <t xml:space="preserve">Debe esta siempre en 0 </t>
  </si>
  <si>
    <t xml:space="preserve">Harcodeados </t>
  </si>
  <si>
    <t>Calculados</t>
  </si>
  <si>
    <t>Subtotal ARG</t>
  </si>
  <si>
    <t>Subtotal USD</t>
  </si>
  <si>
    <t>Column1</t>
  </si>
  <si>
    <t>2</t>
  </si>
  <si>
    <t>BLUE</t>
  </si>
  <si>
    <t>OFICIAL</t>
  </si>
  <si>
    <t>Objetivo</t>
  </si>
  <si>
    <t>TOTAL(ARG)</t>
  </si>
  <si>
    <t>Compra</t>
  </si>
  <si>
    <t>Venta</t>
  </si>
  <si>
    <t>Venta Con impuestos</t>
  </si>
  <si>
    <t>+30%</t>
  </si>
  <si>
    <t>+30% +35%</t>
  </si>
  <si>
    <t>Variación</t>
  </si>
  <si>
    <t>Spread</t>
  </si>
  <si>
    <t/>
  </si>
  <si>
    <t>PASADO A LIMPIO</t>
  </si>
  <si>
    <t>Efectivo</t>
  </si>
  <si>
    <t>Total real</t>
  </si>
  <si>
    <t>DIFERENCIA</t>
  </si>
  <si>
    <t>EUR</t>
  </si>
  <si>
    <t>Euro Blue</t>
  </si>
  <si>
    <t>COMPRA</t>
  </si>
  <si>
    <t>VENTA</t>
  </si>
  <si>
    <t>Subtotal EUR</t>
  </si>
  <si>
    <t>Plazo fijo</t>
  </si>
  <si>
    <t>Vencimiento</t>
  </si>
  <si>
    <t>Tipo</t>
  </si>
  <si>
    <t>Moneda</t>
  </si>
  <si>
    <t>Capital</t>
  </si>
  <si>
    <t>Tasa Nominal Anual</t>
  </si>
  <si>
    <t xml:space="preserve">Tiempo restante </t>
  </si>
  <si>
    <t>TOTAL GANACIAS</t>
  </si>
  <si>
    <t>Importe al vencimiento</t>
  </si>
  <si>
    <t>Ganancia unitaria</t>
  </si>
  <si>
    <t xml:space="preserve">Dolares  </t>
  </si>
  <si>
    <t>BTC</t>
  </si>
  <si>
    <t>USDT</t>
  </si>
  <si>
    <t>TOTAL En excel</t>
  </si>
  <si>
    <t>Euros</t>
  </si>
  <si>
    <t>$ 4,00</t>
  </si>
  <si>
    <t>$352.00</t>
  </si>
  <si>
    <t>$355.00</t>
  </si>
  <si>
    <t>TOTAL Invertido</t>
  </si>
  <si>
    <t>Total sin liquidez</t>
  </si>
  <si>
    <t>Total ARG Invertido</t>
  </si>
  <si>
    <t>$ 0,40</t>
  </si>
  <si>
    <t>$ 0,10</t>
  </si>
  <si>
    <t>= 0,00 %</t>
  </si>
  <si>
    <t>-0,20 %</t>
  </si>
  <si>
    <t>Dólar Bluemartes, 18 de abril de 2023 12:09 Argentina</t>
  </si>
  <si>
    <t>$ 407,00 $ 3,00</t>
  </si>
  <si>
    <t>$ 411,00 $ 3,00</t>
  </si>
  <si>
    <t>0,74 %</t>
  </si>
  <si>
    <t>martes, 18 de abril de 2023 12:09 Argentina</t>
  </si>
  <si>
    <t>Plus Cambio martes, 18 de abril de 2023 12:09 Argentina</t>
  </si>
  <si>
    <t>$ 217,80 = $ 0,00</t>
  </si>
  <si>
    <t>$ 217,90 = $ 0,00</t>
  </si>
  <si>
    <t>$ 283,27 = $ 0,00</t>
  </si>
  <si>
    <t>$ 359,54 = $ 0,00 Operar</t>
  </si>
  <si>
    <t>Operar martes, 18 de abril de 2023 12:09 Argentina</t>
  </si>
  <si>
    <t>Dólar MEPmartes, 18 de abril de 2023 12:09 Argentina</t>
  </si>
  <si>
    <t>$ 401,41 $ 2,48</t>
  </si>
  <si>
    <t>$ 402,08 $ 2,08</t>
  </si>
  <si>
    <t>0,52 %</t>
  </si>
  <si>
    <t>$ 0,67</t>
  </si>
  <si>
    <t>Dólar Contado con Liquidaciónmartes, 18 de abril de 2023 12:09 Argentina</t>
  </si>
  <si>
    <t>$ 413,61 $ 5,29</t>
  </si>
  <si>
    <t>$ 413,88 -$ 0,85</t>
  </si>
  <si>
    <t>$ 0,27</t>
  </si>
  <si>
    <t>Dólar bancos y casas de cambiomartes, 18 de abril de 2023 12:09 Argentina</t>
  </si>
  <si>
    <t>$ 215,85 $ 0,48</t>
  </si>
  <si>
    <t>$ 223,12 $ 0,48</t>
  </si>
  <si>
    <t>$ 290,05 $ 0,62</t>
  </si>
  <si>
    <t>$ 368,14 $ 0,79</t>
  </si>
  <si>
    <t>0,22 %</t>
  </si>
  <si>
    <t>$ 7,27</t>
  </si>
  <si>
    <t>Dólar_x000D_
Cambio Onlinemartes, 18 de abril de 2023 12:09 Argentina</t>
  </si>
  <si>
    <t>$ 218,27 $ 0,32</t>
  </si>
  <si>
    <t>$ 219,88 $ 0,32</t>
  </si>
  <si>
    <t>$ 285,85 $ 0,41</t>
  </si>
  <si>
    <t>$ 362,81 $ 0,52</t>
  </si>
  <si>
    <t>0,14 %</t>
  </si>
  <si>
    <t>$ 1,62</t>
  </si>
  <si>
    <t>Dólar mayoristamartes, 18 de abril de 2023 10:19 Argentina</t>
  </si>
  <si>
    <t>$ 216,50 $ 0,52</t>
  </si>
  <si>
    <t>$ 216,90 $ 0,52</t>
  </si>
  <si>
    <t>0,24 %</t>
  </si>
  <si>
    <t>martes, 18 de abril de 2023 10:19 Argentina</t>
  </si>
  <si>
    <t>Insumos 1</t>
  </si>
  <si>
    <t>Insumos 2</t>
  </si>
  <si>
    <t>RRHH</t>
  </si>
  <si>
    <t>Banco 1</t>
  </si>
  <si>
    <t>Banco 2</t>
  </si>
  <si>
    <t>Inversion 1</t>
  </si>
  <si>
    <t>Inversion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</si>
</sst>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_-[$USD]\ * #,##0.00_-;\-[$USD]\ * #,##0.00_-;_-[$USD]\ * &quot;-&quot;??_-;_-@_-"/>
    <numFmt numFmtId="165" formatCode="0.0%"/>
    <numFmt numFmtId="166" formatCode="_-&quot;$&quot;\ * #,##0.000_-;\-&quot;$&quot;\ * #,##0.000_-;_-&quot;$&quot;\ * &quot;-&quot;??_-;_-@_-"/>
    <numFmt numFmtId="167" formatCode="_-[$EUR]\ * #,##0.00_-;\-[$EUR]\ * #,##0.00_-;_-[$EUR]\ * &quot;-&quot;??_-;_-@_-"/>
    <numFmt numFmtId="168" formatCode="_-&quot;$&quot;\ * #,##0.000_-;\-&quot;$&quot;\ * #,##0.000_-;_-&quot;$&quot;\ * &quot;-&quot;???_-;_-@_-"/>
    <numFmt numFmtId="169" formatCode="_-&quot;$&quot;\ * #,##0.0000_-;\-&quot;$&quot;\ * #,##0.0000_-;_-&quot;$&quot;\ * &quot;-&quot;??_-;_-@_-"/>
    <numFmt numFmtId="170" formatCode="0.0000"/>
    <numFmt numFmtId="171" formatCode="0.00000000000"/>
    <numFmt numFmtId="172" formatCode="_-&quot;$&quot;\ * #,##0.000000000_-;\-&quot;$&quot;\ * #,##0.000000000_-;_-&quot;$&quot;\ * &quot;-&quot;??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28FFF"/>
        <bgColor indexed="64"/>
      </patternFill>
    </fill>
    <fill>
      <patternFill patternType="solid">
        <fgColor rgb="FFEED5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01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0" borderId="11" applyNumberFormat="0" applyFill="0" applyProtection="0">
      <alignment horizontal="center" vertical="center"/>
    </xf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5" fillId="0" borderId="12" applyFont="0" applyFill="0" applyAlignment="0" applyProtection="0"/>
    <xf numFmtId="3" fontId="4" fillId="0" borderId="11" applyNumberFormat="0" applyFill="0" applyAlignment="0" applyProtection="0"/>
    <xf numFmtId="0" fontId="4" fillId="0" borderId="11" applyNumberFormat="0" applyFill="0" applyAlignment="0" applyProtection="0"/>
    <xf numFmtId="3" fontId="4" fillId="0" borderId="11" applyNumberFormat="0" applyFill="0" applyAlignment="0" applyProtection="0"/>
    <xf numFmtId="0" fontId="4" fillId="0" borderId="11" applyNumberFormat="0" applyFill="0" applyAlignment="0" applyProtection="0"/>
    <xf numFmtId="0" fontId="4" fillId="0" borderId="11" applyNumberFormat="0" applyFill="0" applyAlignment="0" applyProtection="0"/>
    <xf numFmtId="0" fontId="4" fillId="0" borderId="11" applyNumberFormat="0" applyFill="0" applyAlignment="0" applyProtection="0"/>
    <xf numFmtId="0" fontId="4" fillId="0" borderId="11" applyNumberFormat="0" applyFill="0" applyAlignment="0" applyProtection="0"/>
    <xf numFmtId="0" fontId="4" fillId="0" borderId="11" applyNumberFormat="0" applyFill="0" applyAlignment="0" applyProtection="0"/>
    <xf numFmtId="3" fontId="5" fillId="0" borderId="0" applyNumberFormat="0" applyBorder="0" applyAlignment="0" applyProtection="0"/>
    <xf numFmtId="3" fontId="5" fillId="0" borderId="0" applyNumberFormat="0" applyBorder="0" applyAlignment="0" applyProtection="0"/>
    <xf numFmtId="3" fontId="5" fillId="0" borderId="0" applyNumberFormat="0" applyBorder="0" applyAlignment="0" applyProtection="0"/>
    <xf numFmtId="3" fontId="5" fillId="0" borderId="0" applyNumberFormat="0" applyBorder="0" applyAlignment="0" applyProtection="0"/>
    <xf numFmtId="3" fontId="5" fillId="0" borderId="0" applyNumberFormat="0" applyBorder="0" applyAlignment="0" applyProtection="0"/>
    <xf numFmtId="3" fontId="5" fillId="0" borderId="12" applyNumberFormat="0" applyBorder="0" applyAlignment="0" applyProtection="0"/>
    <xf numFmtId="3" fontId="5" fillId="0" borderId="12" applyNumberFormat="0" applyBorder="0" applyAlignment="0" applyProtection="0"/>
    <xf numFmtId="3" fontId="5" fillId="0" borderId="12" applyNumberFormat="0" applyBorder="0" applyAlignment="0" applyProtection="0"/>
    <xf numFmtId="0" fontId="5" fillId="0" borderId="12" applyNumberFormat="0" applyFill="0" applyAlignment="0" applyProtection="0"/>
    <xf numFmtId="0" fontId="5" fillId="0" borderId="12" applyNumberFormat="0" applyFill="0" applyAlignment="0" applyProtection="0"/>
    <xf numFmtId="0" fontId="5" fillId="0" borderId="12">
      <alignment horizontal="right" vertical="center"/>
    </xf>
    <xf numFmtId="3" fontId="5" fillId="8" borderId="12">
      <alignment horizontal="center" vertical="center"/>
    </xf>
    <xf numFmtId="0" fontId="5" fillId="8" borderId="12">
      <alignment horizontal="right" vertical="center"/>
    </xf>
    <xf numFmtId="0" fontId="4" fillId="0" borderId="13">
      <alignment horizontal="left" vertical="center"/>
    </xf>
    <xf numFmtId="0" fontId="4" fillId="0" borderId="14">
      <alignment horizontal="center" vertical="center"/>
    </xf>
    <xf numFmtId="0" fontId="6" fillId="0" borderId="15">
      <alignment horizontal="center" vertical="center"/>
    </xf>
    <xf numFmtId="0" fontId="5" fillId="9" borderId="12"/>
    <xf numFmtId="3" fontId="7" fillId="0" borderId="12"/>
    <xf numFmtId="3" fontId="8" fillId="0" borderId="12"/>
    <xf numFmtId="0" fontId="4" fillId="0" borderId="14">
      <alignment horizontal="left" vertical="top"/>
    </xf>
    <xf numFmtId="0" fontId="9" fillId="0" borderId="12"/>
    <xf numFmtId="0" fontId="4" fillId="0" borderId="14">
      <alignment horizontal="left" vertical="center"/>
    </xf>
    <xf numFmtId="0" fontId="5" fillId="8" borderId="16"/>
    <xf numFmtId="3" fontId="5" fillId="0" borderId="12">
      <alignment horizontal="right" vertical="center"/>
    </xf>
    <xf numFmtId="0" fontId="4" fillId="0" borderId="14">
      <alignment horizontal="right" vertical="center"/>
    </xf>
    <xf numFmtId="0" fontId="5" fillId="0" borderId="15">
      <alignment horizontal="center" vertical="center"/>
    </xf>
    <xf numFmtId="3" fontId="5" fillId="0" borderId="12"/>
    <xf numFmtId="3" fontId="5" fillId="0" borderId="12"/>
    <xf numFmtId="0" fontId="5" fillId="0" borderId="15">
      <alignment horizontal="center" vertical="center" wrapText="1"/>
    </xf>
    <xf numFmtId="0" fontId="10" fillId="0" borderId="15">
      <alignment horizontal="left" vertical="center" indent="1"/>
    </xf>
    <xf numFmtId="0" fontId="11" fillId="0" borderId="12"/>
    <xf numFmtId="0" fontId="4" fillId="0" borderId="13">
      <alignment horizontal="left" vertical="center"/>
    </xf>
    <xf numFmtId="3" fontId="5" fillId="0" borderId="12">
      <alignment horizontal="center" vertical="center"/>
    </xf>
    <xf numFmtId="0" fontId="4" fillId="0" borderId="14">
      <alignment horizontal="center" vertical="center"/>
    </xf>
    <xf numFmtId="0" fontId="4" fillId="0" borderId="14">
      <alignment horizontal="center" vertical="center"/>
    </xf>
    <xf numFmtId="0" fontId="4" fillId="0" borderId="13">
      <alignment horizontal="left" vertical="center"/>
    </xf>
    <xf numFmtId="0" fontId="4" fillId="0" borderId="13">
      <alignment horizontal="left" vertical="center"/>
    </xf>
    <xf numFmtId="0" fontId="12" fillId="0" borderId="12"/>
    <xf numFmtId="9" fontId="1" fillId="0" borderId="0" applyFont="0" applyFill="0" applyBorder="0" applyAlignment="0" applyProtection="0"/>
    <xf numFmtId="0" fontId="17" fillId="0" borderId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16" borderId="0" applyNumberFormat="0" applyBorder="0" applyAlignment="0" applyProtection="0"/>
    <xf numFmtId="0" fontId="17" fillId="19" borderId="0" applyNumberFormat="0" applyBorder="0" applyAlignment="0" applyProtection="0"/>
    <xf numFmtId="0" fontId="17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15" borderId="0" applyNumberFormat="0" applyBorder="0" applyAlignment="0" applyProtection="0"/>
    <xf numFmtId="0" fontId="20" fillId="27" borderId="18" applyNumberFormat="0" applyAlignment="0" applyProtection="0"/>
    <xf numFmtId="0" fontId="21" fillId="28" borderId="19" applyNumberFormat="0" applyAlignment="0" applyProtection="0"/>
    <xf numFmtId="0" fontId="22" fillId="0" borderId="20" applyNumberFormat="0" applyFill="0" applyAlignment="0" applyProtection="0"/>
    <xf numFmtId="0" fontId="23" fillId="0" borderId="0" applyNumberFormat="0" applyFill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32" borderId="0" applyNumberFormat="0" applyBorder="0" applyAlignment="0" applyProtection="0"/>
    <xf numFmtId="0" fontId="24" fillId="18" borderId="18" applyNumberFormat="0" applyAlignment="0" applyProtection="0"/>
    <xf numFmtId="0" fontId="25" fillId="14" borderId="0" applyNumberFormat="0" applyBorder="0" applyAlignment="0" applyProtection="0"/>
    <xf numFmtId="0" fontId="26" fillId="33" borderId="0" applyNumberFormat="0" applyBorder="0" applyAlignment="0" applyProtection="0"/>
    <xf numFmtId="0" fontId="17" fillId="34" borderId="21" applyNumberFormat="0" applyFont="0" applyAlignment="0" applyProtection="0"/>
    <xf numFmtId="0" fontId="27" fillId="27" borderId="2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3" applyNumberFormat="0" applyFill="0" applyAlignment="0" applyProtection="0"/>
    <xf numFmtId="0" fontId="32" fillId="0" borderId="24" applyNumberFormat="0" applyFill="0" applyAlignment="0" applyProtection="0"/>
    <xf numFmtId="0" fontId="23" fillId="0" borderId="25" applyNumberFormat="0" applyFill="0" applyAlignment="0" applyProtection="0"/>
    <xf numFmtId="0" fontId="33" fillId="0" borderId="26" applyNumberFormat="0" applyFill="0" applyAlignment="0" applyProtection="0"/>
  </cellStyleXfs>
  <cellXfs count="62">
    <xf numFmtId="0" fontId="0" fillId="0" borderId="0" xfId="0"/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2" xfId="0" applyBorder="1"/>
    <xf numFmtId="44" fontId="0" fillId="0" borderId="2" xfId="1" applyFont="1" applyBorder="1"/>
    <xf numFmtId="0" fontId="0" fillId="5" borderId="2" xfId="0" applyFill="1" applyBorder="1"/>
    <xf numFmtId="164" fontId="0" fillId="5" borderId="2" xfId="0" applyNumberFormat="1" applyFill="1" applyBorder="1"/>
    <xf numFmtId="165" fontId="3" fillId="0" borderId="0" xfId="0" applyNumberFormat="1" applyFont="1" applyAlignment="1">
      <alignment vertical="center"/>
    </xf>
    <xf numFmtId="44" fontId="0" fillId="0" borderId="0" xfId="1" applyFont="1" applyAlignment="1">
      <alignment vertical="center"/>
    </xf>
    <xf numFmtId="16" fontId="0" fillId="0" borderId="0" xfId="0" applyNumberFormat="1" applyAlignment="1">
      <alignment horizontal="center" vertical="center"/>
    </xf>
    <xf numFmtId="0" fontId="2" fillId="2" borderId="8" xfId="2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4" fontId="0" fillId="0" borderId="2" xfId="0" applyNumberFormat="1" applyBorder="1"/>
    <xf numFmtId="0" fontId="0" fillId="6" borderId="2" xfId="0" applyFill="1" applyBorder="1" applyAlignment="1">
      <alignment horizontal="center" vertical="center" wrapText="1"/>
    </xf>
    <xf numFmtId="44" fontId="0" fillId="6" borderId="2" xfId="1" applyFont="1" applyFill="1" applyBorder="1" applyAlignment="1">
      <alignment horizontal="center" vertical="center" wrapText="1"/>
    </xf>
    <xf numFmtId="44" fontId="0" fillId="7" borderId="2" xfId="1" applyFont="1" applyFill="1" applyBorder="1" applyAlignment="1">
      <alignment horizontal="center" vertical="center" wrapText="1"/>
    </xf>
    <xf numFmtId="44" fontId="0" fillId="0" borderId="0" xfId="0" applyNumberFormat="1"/>
    <xf numFmtId="10" fontId="0" fillId="0" borderId="2" xfId="58" applyNumberFormat="1" applyFont="1" applyFill="1" applyBorder="1" applyAlignment="1">
      <alignment vertical="center"/>
    </xf>
    <xf numFmtId="0" fontId="13" fillId="7" borderId="2" xfId="0" applyFont="1" applyFill="1" applyBorder="1" applyAlignment="1">
      <alignment horizontal="center" vertical="center" wrapText="1"/>
    </xf>
    <xf numFmtId="0" fontId="14" fillId="10" borderId="2" xfId="0" applyFont="1" applyFill="1" applyBorder="1"/>
    <xf numFmtId="166" fontId="14" fillId="11" borderId="2" xfId="0" applyNumberFormat="1" applyFont="1" applyFill="1" applyBorder="1"/>
    <xf numFmtId="167" fontId="0" fillId="0" borderId="2" xfId="0" applyNumberFormat="1" applyBorder="1"/>
    <xf numFmtId="164" fontId="0" fillId="5" borderId="10" xfId="0" applyNumberFormat="1" applyFill="1" applyBorder="1"/>
    <xf numFmtId="14" fontId="0" fillId="0" borderId="0" xfId="0" applyNumberFormat="1"/>
    <xf numFmtId="10" fontId="0" fillId="0" borderId="0" xfId="58" applyNumberFormat="1" applyFont="1"/>
    <xf numFmtId="2" fontId="0" fillId="0" borderId="0" xfId="0" applyNumberFormat="1"/>
    <xf numFmtId="44" fontId="0" fillId="0" borderId="0" xfId="58" applyNumberFormat="1" applyFont="1"/>
    <xf numFmtId="168" fontId="0" fillId="0" borderId="0" xfId="0" applyNumberFormat="1"/>
    <xf numFmtId="167" fontId="0" fillId="5" borderId="10" xfId="0" applyNumberFormat="1" applyFill="1" applyBorder="1"/>
    <xf numFmtId="167" fontId="0" fillId="5" borderId="2" xfId="0" applyNumberFormat="1" applyFill="1" applyBorder="1"/>
    <xf numFmtId="44" fontId="0" fillId="0" borderId="8" xfId="0" applyNumberFormat="1" applyBorder="1" applyAlignment="1">
      <alignment horizontal="center" vertical="center"/>
    </xf>
    <xf numFmtId="0" fontId="15" fillId="6" borderId="8" xfId="2" applyFont="1" applyFill="1" applyBorder="1" applyAlignment="1">
      <alignment horizontal="center" vertical="center"/>
    </xf>
    <xf numFmtId="0" fontId="16" fillId="0" borderId="0" xfId="0" applyFont="1"/>
    <xf numFmtId="44" fontId="0" fillId="0" borderId="17" xfId="1" applyFont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169" fontId="14" fillId="11" borderId="2" xfId="0" applyNumberFormat="1" applyFont="1" applyFill="1" applyBorder="1"/>
    <xf numFmtId="0" fontId="0" fillId="12" borderId="0" xfId="0" applyFill="1"/>
    <xf numFmtId="170" fontId="0" fillId="0" borderId="0" xfId="0" applyNumberFormat="1"/>
    <xf numFmtId="44" fontId="14" fillId="11" borderId="2" xfId="1" applyFont="1" applyFill="1" applyBorder="1" applyAlignment="1"/>
    <xf numFmtId="171" fontId="0" fillId="0" borderId="0" xfId="0" applyNumberFormat="1"/>
    <xf numFmtId="172" fontId="0" fillId="0" borderId="0" xfId="1" applyNumberFormat="1" applyFont="1" applyAlignment="1">
      <alignment horizontal="center" vertical="center"/>
    </xf>
    <xf numFmtId="0" fontId="15" fillId="12" borderId="8" xfId="2" applyFont="1" applyFill="1" applyBorder="1" applyAlignment="1">
      <alignment horizontal="center" vertical="center"/>
    </xf>
    <xf numFmtId="8" fontId="0" fillId="0" borderId="0" xfId="0" applyNumberFormat="1"/>
    <xf numFmtId="167" fontId="0" fillId="0" borderId="0" xfId="0" applyNumberFormat="1"/>
    <xf numFmtId="4" fontId="0" fillId="0" borderId="0" xfId="0" applyNumberFormat="1"/>
    <xf numFmtId="44" fontId="14" fillId="11" borderId="2" xfId="0" applyNumberFormat="1" applyFont="1" applyFill="1" applyBorder="1"/>
    <xf numFmtId="164" fontId="0" fillId="0" borderId="9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44" fontId="0" fillId="6" borderId="0" xfId="1" applyFont="1" applyFill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44" fontId="0" fillId="0" borderId="3" xfId="0" applyNumberFormat="1" applyBorder="1" applyAlignment="1">
      <alignment horizontal="center" vertical="center"/>
    </xf>
  </cellXfs>
  <cellStyles count="101">
    <cellStyle name="20% - Énfasis1 2" xfId="60" xr:uid="{16A99DD1-C10B-4946-A199-888C5E18B38C}"/>
    <cellStyle name="20% - Énfasis2 2" xfId="61" xr:uid="{54C073C1-781B-41D1-BF20-56F6231C8BB4}"/>
    <cellStyle name="20% - Énfasis3 2" xfId="62" xr:uid="{CAC8A25F-0378-4D07-AA80-51D18901E059}"/>
    <cellStyle name="20% - Énfasis4 2" xfId="63" xr:uid="{7114C6A1-A065-4E08-9A35-4BD6AAD9E4FD}"/>
    <cellStyle name="20% - Énfasis5 2" xfId="64" xr:uid="{CEC1C93B-1C87-43CF-9CF1-627FE444F561}"/>
    <cellStyle name="20% - Énfasis6 2" xfId="65" xr:uid="{EC3368BB-D569-494D-9822-AFA0E1D220B7}"/>
    <cellStyle name="40% - Énfasis1 2" xfId="66" xr:uid="{19ACE5BF-8BDE-4453-BB37-1FF748DBD230}"/>
    <cellStyle name="40% - Énfasis2 2" xfId="67" xr:uid="{30D236B0-213D-40C0-B315-29785882C3F0}"/>
    <cellStyle name="40% - Énfasis3 2" xfId="68" xr:uid="{4341D9C8-3BFE-4F25-8911-F9EC43BD723E}"/>
    <cellStyle name="40% - Énfasis4 2" xfId="69" xr:uid="{A39886DB-72ED-4F5E-B3C2-864540A11E44}"/>
    <cellStyle name="40% - Énfasis5 2" xfId="70" xr:uid="{994CFF69-32FB-48B6-98F6-0B0AEDA519EF}"/>
    <cellStyle name="40% - Énfasis6 2" xfId="71" xr:uid="{CD485204-F734-4972-AF50-1DB333D24708}"/>
    <cellStyle name="60% - Énfasis1 2" xfId="72" xr:uid="{4949F9F3-01B0-4A0C-9500-FD4709167253}"/>
    <cellStyle name="60% - Énfasis2 2" xfId="73" xr:uid="{7F5886E0-09FD-4E78-8BE8-5082EEC3E2C6}"/>
    <cellStyle name="60% - Énfasis3 2" xfId="74" xr:uid="{FD9AF175-9572-41D2-8B4D-BC24DDDEFF22}"/>
    <cellStyle name="60% - Énfasis4 2" xfId="75" xr:uid="{B613575A-D30A-481C-9D51-8EE7479E11B1}"/>
    <cellStyle name="60% - Énfasis5 2" xfId="76" xr:uid="{D0426935-2974-47AC-83AF-0318D52216F7}"/>
    <cellStyle name="60% - Énfasis6 2" xfId="77" xr:uid="{4461F32D-07D9-407D-A6D0-A870D60BA3B7}"/>
    <cellStyle name="AF Column - IBM Cognos" xfId="3" xr:uid="{00000000-0005-0000-0000-000000000000}"/>
    <cellStyle name="AF Data - IBM Cognos" xfId="4" xr:uid="{00000000-0005-0000-0000-000001000000}"/>
    <cellStyle name="AF Data 0 - IBM Cognos" xfId="5" xr:uid="{00000000-0005-0000-0000-000002000000}"/>
    <cellStyle name="AF Data 1 - IBM Cognos" xfId="6" xr:uid="{00000000-0005-0000-0000-000003000000}"/>
    <cellStyle name="AF Data 2 - IBM Cognos" xfId="7" xr:uid="{00000000-0005-0000-0000-000004000000}"/>
    <cellStyle name="AF Data 3 - IBM Cognos" xfId="8" xr:uid="{00000000-0005-0000-0000-000005000000}"/>
    <cellStyle name="AF Data 4 - IBM Cognos" xfId="9" xr:uid="{00000000-0005-0000-0000-000006000000}"/>
    <cellStyle name="AF Data 5 - IBM Cognos" xfId="10" xr:uid="{00000000-0005-0000-0000-000007000000}"/>
    <cellStyle name="AF Data Leaf - IBM Cognos" xfId="11" xr:uid="{00000000-0005-0000-0000-000008000000}"/>
    <cellStyle name="AF Header - IBM Cognos" xfId="12" xr:uid="{00000000-0005-0000-0000-000009000000}"/>
    <cellStyle name="AF Header 0 - IBM Cognos" xfId="13" xr:uid="{00000000-0005-0000-0000-00000A000000}"/>
    <cellStyle name="AF Header 1 - IBM Cognos" xfId="14" xr:uid="{00000000-0005-0000-0000-00000B000000}"/>
    <cellStyle name="AF Header 2 - IBM Cognos" xfId="15" xr:uid="{00000000-0005-0000-0000-00000C000000}"/>
    <cellStyle name="AF Header 3 - IBM Cognos" xfId="16" xr:uid="{00000000-0005-0000-0000-00000D000000}"/>
    <cellStyle name="AF Header 4 - IBM Cognos" xfId="17" xr:uid="{00000000-0005-0000-0000-00000E000000}"/>
    <cellStyle name="AF Header 5 - IBM Cognos" xfId="18" xr:uid="{00000000-0005-0000-0000-00000F000000}"/>
    <cellStyle name="AF Header Leaf - IBM Cognos" xfId="19" xr:uid="{00000000-0005-0000-0000-000010000000}"/>
    <cellStyle name="AF Row - IBM Cognos" xfId="20" xr:uid="{00000000-0005-0000-0000-000011000000}"/>
    <cellStyle name="AF Row 0 - IBM Cognos" xfId="21" xr:uid="{00000000-0005-0000-0000-000012000000}"/>
    <cellStyle name="AF Row 1 - IBM Cognos" xfId="22" xr:uid="{00000000-0005-0000-0000-000013000000}"/>
    <cellStyle name="AF Row 2 - IBM Cognos" xfId="23" xr:uid="{00000000-0005-0000-0000-000014000000}"/>
    <cellStyle name="AF Row 3 - IBM Cognos" xfId="24" xr:uid="{00000000-0005-0000-0000-000015000000}"/>
    <cellStyle name="AF Row 4 - IBM Cognos" xfId="25" xr:uid="{00000000-0005-0000-0000-000016000000}"/>
    <cellStyle name="AF Row 5 - IBM Cognos" xfId="26" xr:uid="{00000000-0005-0000-0000-000017000000}"/>
    <cellStyle name="AF Row Leaf - IBM Cognos" xfId="27" xr:uid="{00000000-0005-0000-0000-000018000000}"/>
    <cellStyle name="AF Subnm - IBM Cognos" xfId="28" xr:uid="{00000000-0005-0000-0000-000019000000}"/>
    <cellStyle name="AF Title - IBM Cognos" xfId="29" xr:uid="{00000000-0005-0000-0000-00001A000000}"/>
    <cellStyle name="Buena" xfId="78" xr:uid="{1AAD8EAB-9D3A-4195-A490-FB54ACCED767}"/>
    <cellStyle name="Bueno" xfId="2" builtinId="26"/>
    <cellStyle name="Calculated Column - IBM Cognos" xfId="30" xr:uid="{00000000-0005-0000-0000-00001C000000}"/>
    <cellStyle name="Calculated Column Name - IBM Cognos" xfId="31" xr:uid="{00000000-0005-0000-0000-00001D000000}"/>
    <cellStyle name="Calculated Row - IBM Cognos" xfId="32" xr:uid="{00000000-0005-0000-0000-00001E000000}"/>
    <cellStyle name="Calculated Row Name - IBM Cognos" xfId="33" xr:uid="{00000000-0005-0000-0000-00001F000000}"/>
    <cellStyle name="Cálculo 2" xfId="79" xr:uid="{84DCABCB-DBA6-42D3-BE00-53DA7298FC3C}"/>
    <cellStyle name="Celda de comprobación 2" xfId="80" xr:uid="{24A80292-E6EB-4AB4-8310-024B49CA804A}"/>
    <cellStyle name="Celda vinculada 2" xfId="81" xr:uid="{8800CBDD-F75D-4243-9C60-930616CCEE85}"/>
    <cellStyle name="Column Name - IBM Cognos" xfId="34" xr:uid="{00000000-0005-0000-0000-000020000000}"/>
    <cellStyle name="Column Template - IBM Cognos" xfId="35" xr:uid="{00000000-0005-0000-0000-000021000000}"/>
    <cellStyle name="Differs From Base - IBM Cognos" xfId="36" xr:uid="{00000000-0005-0000-0000-000022000000}"/>
    <cellStyle name="Edit - IBM Cognos" xfId="37" xr:uid="{00000000-0005-0000-0000-000023000000}"/>
    <cellStyle name="Encabezado 4 2" xfId="82" xr:uid="{0C703A0A-3B41-4F0A-A674-144632ECA6FD}"/>
    <cellStyle name="Énfasis1 2" xfId="83" xr:uid="{BB8FCA10-B826-41BB-BFE0-15A9D04869A8}"/>
    <cellStyle name="Énfasis2 2" xfId="84" xr:uid="{04BE6224-46E4-4284-AD6C-C0A5B7A1B383}"/>
    <cellStyle name="Énfasis3 2" xfId="85" xr:uid="{341E36ED-06E0-49F9-8853-568A6056B2E6}"/>
    <cellStyle name="Énfasis4 2" xfId="86" xr:uid="{960E17AF-1B1E-458D-83E5-7807E3726350}"/>
    <cellStyle name="Énfasis5 2" xfId="87" xr:uid="{13D464F8-7AA7-490F-8303-DD9A5CA28156}"/>
    <cellStyle name="Énfasis6 2" xfId="88" xr:uid="{0D140666-9334-4A75-92EB-3E94B7AEEF05}"/>
    <cellStyle name="Entrada 2" xfId="89" xr:uid="{1FF3CED4-0EE8-4089-9535-809678CEED4D}"/>
    <cellStyle name="Formula - IBM Cognos" xfId="38" xr:uid="{00000000-0005-0000-0000-000024000000}"/>
    <cellStyle name="Group Name - IBM Cognos" xfId="39" xr:uid="{00000000-0005-0000-0000-000025000000}"/>
    <cellStyle name="Hold Values - IBM Cognos" xfId="40" xr:uid="{00000000-0005-0000-0000-000026000000}"/>
    <cellStyle name="Incorrecto 2" xfId="90" xr:uid="{9317FA9F-B6B7-4087-A019-FBBEFFC7AC92}"/>
    <cellStyle name="List Name - IBM Cognos" xfId="41" xr:uid="{00000000-0005-0000-0000-000027000000}"/>
    <cellStyle name="Locked - IBM Cognos" xfId="42" xr:uid="{00000000-0005-0000-0000-000028000000}"/>
    <cellStyle name="Measure - IBM Cognos" xfId="43" xr:uid="{00000000-0005-0000-0000-000029000000}"/>
    <cellStyle name="Measure Header - IBM Cognos" xfId="44" xr:uid="{00000000-0005-0000-0000-00002A000000}"/>
    <cellStyle name="Measure Name - IBM Cognos" xfId="45" xr:uid="{00000000-0005-0000-0000-00002B000000}"/>
    <cellStyle name="Measure Summary - IBM Cognos" xfId="46" xr:uid="{00000000-0005-0000-0000-00002C000000}"/>
    <cellStyle name="Measure Summary TM1 - IBM Cognos" xfId="47" xr:uid="{00000000-0005-0000-0000-00002D000000}"/>
    <cellStyle name="Measure Template - IBM Cognos" xfId="48" xr:uid="{00000000-0005-0000-0000-00002E000000}"/>
    <cellStyle name="Moneda" xfId="1" builtinId="4"/>
    <cellStyle name="More - IBM Cognos" xfId="49" xr:uid="{00000000-0005-0000-0000-000030000000}"/>
    <cellStyle name="Neutral 2" xfId="91" xr:uid="{F7778EA7-55AA-4493-86B9-C1AA17F2AE58}"/>
    <cellStyle name="Normal" xfId="0" builtinId="0"/>
    <cellStyle name="Normal 2" xfId="59" xr:uid="{8EFE858F-9A3E-4672-8DF7-4806D401D2D2}"/>
    <cellStyle name="Notas 2" xfId="92" xr:uid="{5AAF28A5-AB9C-4785-91F5-4EAFA43DF87F}"/>
    <cellStyle name="Pending Change - IBM Cognos" xfId="50" xr:uid="{00000000-0005-0000-0000-000032000000}"/>
    <cellStyle name="Porcentaje" xfId="58" builtinId="5"/>
    <cellStyle name="Row Name - IBM Cognos" xfId="51" xr:uid="{00000000-0005-0000-0000-000034000000}"/>
    <cellStyle name="Row Template - IBM Cognos" xfId="52" xr:uid="{00000000-0005-0000-0000-000035000000}"/>
    <cellStyle name="Salida 2" xfId="93" xr:uid="{8A983DAC-88B8-4D46-B3D4-33C117DC33F6}"/>
    <cellStyle name="Summary Column Name - IBM Cognos" xfId="53" xr:uid="{00000000-0005-0000-0000-000036000000}"/>
    <cellStyle name="Summary Column Name TM1 - IBM Cognos" xfId="54" xr:uid="{00000000-0005-0000-0000-000037000000}"/>
    <cellStyle name="Summary Row Name - IBM Cognos" xfId="55" xr:uid="{00000000-0005-0000-0000-000038000000}"/>
    <cellStyle name="Summary Row Name TM1 - IBM Cognos" xfId="56" xr:uid="{00000000-0005-0000-0000-000039000000}"/>
    <cellStyle name="Texto de advertencia 2" xfId="94" xr:uid="{3079DAA2-95C7-4A4E-8182-E19034431357}"/>
    <cellStyle name="Texto explicativo 2" xfId="95" xr:uid="{680D1735-D337-4179-87FF-618861A2D083}"/>
    <cellStyle name="Título 1" xfId="97" xr:uid="{1106F3D5-CEE5-4953-AF26-09B46F936D72}"/>
    <cellStyle name="Título 2 2" xfId="98" xr:uid="{E80E4C3B-D00E-48BC-99CB-052E7BB5B618}"/>
    <cellStyle name="Título 3 2" xfId="99" xr:uid="{41844527-854D-417F-825F-EA6AB1618013}"/>
    <cellStyle name="Título 4" xfId="96" xr:uid="{41FB5144-042F-41F2-9D20-9F01258458C7}"/>
    <cellStyle name="Total 2" xfId="100" xr:uid="{4A276FC1-669F-4797-AF62-31D86DEEDFE3}"/>
    <cellStyle name="Unsaved Change - IBM Cognos" xfId="57" xr:uid="{00000000-0005-0000-0000-00003A000000}"/>
  </cellStyles>
  <dxfs count="7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73" formatCode=";;;**"/>
    </dxf>
    <dxf>
      <font>
        <color rgb="FF9C5700"/>
      </font>
      <fill>
        <patternFill>
          <bgColor rgb="FFFFEB9C"/>
        </patternFill>
      </fill>
    </dxf>
    <dxf>
      <numFmt numFmtId="173" formatCode=";;;**"/>
    </dxf>
    <dxf>
      <numFmt numFmtId="173" formatCode=";;;**"/>
    </dxf>
    <dxf>
      <numFmt numFmtId="173" formatCode=";;;**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3" formatCode=";;;**"/>
    </dxf>
    <dxf>
      <numFmt numFmtId="173" formatCode=";;;**"/>
    </dxf>
    <dxf>
      <numFmt numFmtId="173" formatCode=";;;**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73" formatCode=";;;**"/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numFmt numFmtId="19" formatCode="d/m/yyyy"/>
    </dxf>
    <dxf>
      <numFmt numFmtId="0" formatCode="General"/>
    </dxf>
    <dxf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_-[$EUR]\ * #,##0.00_-;\-[$EUR]\ * #,##0.00_-;_-[$EUR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USD]\ * #,##0.00_-;\-[$USD]\ * #,##0.00_-;_-[$USD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Estilo de tabla 1" pivot="0" count="0" xr9:uid="{00000000-0011-0000-FFFF-FFFF00000000}"/>
  </tableStyles>
  <colors>
    <mruColors>
      <color rgb="FFEED5FF"/>
      <color rgb="FFD28FFF"/>
      <color rgb="FFFF7979"/>
      <color rgb="FFE3B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'2023'!$D$1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'2023'!$A$2:$A$677</c:f>
              <c:numCache>
                <c:formatCode>d\-mmm</c:formatCode>
                <c:ptCount val="676"/>
              </c:numCache>
            </c:numRef>
          </c:cat>
          <c:val>
            <c:numRef>
              <c:f>'2023'!$D$2:$D$677</c:f>
              <c:numCache>
                <c:formatCode>_("$"* #,##0.00_);_("$"* \(#,##0.00\);_("$"* "-"??_);_(@_)</c:formatCode>
                <c:ptCount val="6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1-4657-A414-0CD6D4FFC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944928"/>
        <c:axId val="1040947224"/>
      </c:lineChart>
      <c:catAx>
        <c:axId val="104094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40947224"/>
        <c:crosses val="autoZero"/>
        <c:auto val="1"/>
        <c:lblAlgn val="ctr"/>
        <c:lblOffset val="100"/>
        <c:noMultiLvlLbl val="1"/>
      </c:catAx>
      <c:valAx>
        <c:axId val="104094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40944928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en/eye-icon-symbol-look-vision-see-1915455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230962</xdr:colOff>
      <xdr:row>0</xdr:row>
      <xdr:rowOff>41413</xdr:rowOff>
    </xdr:from>
    <xdr:to>
      <xdr:col>11</xdr:col>
      <xdr:colOff>911087</xdr:colOff>
      <xdr:row>0</xdr:row>
      <xdr:rowOff>393165</xdr:rowOff>
    </xdr:to>
    <xdr:pic macro="[0]!HideDAta">
      <xdr:nvPicPr>
        <xdr:cNvPr id="6" name="Imagen 5">
          <a:extLst>
            <a:ext uri="{FF2B5EF4-FFF2-40B4-BE49-F238E27FC236}">
              <a16:creationId xmlns:a16="http://schemas.microsoft.com/office/drawing/2014/main" id="{4D3005ED-BE41-8741-1D94-2D7F483A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1926005" y="41413"/>
          <a:ext cx="680125" cy="351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3</xdr:row>
      <xdr:rowOff>57149</xdr:rowOff>
    </xdr:from>
    <xdr:to>
      <xdr:col>22</xdr:col>
      <xdr:colOff>672352</xdr:colOff>
      <xdr:row>34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refreshOnLoad="1" connectionId="2" xr16:uid="{00000000-0016-0000-01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1"/>
      <queryTableField id="2" name="Compra" tableColumnId="2"/>
      <queryTableField id="3" name="Venta" tableColumnId="3"/>
      <queryTableField id="4" name="+30%" tableColumnId="4"/>
      <queryTableField id="5" name="+30% +35%" tableColumnId="5"/>
      <queryTableField id="6" name="Variación" tableColumnId="6"/>
      <queryTableField id="7" name="Spread" tableColumnId="7"/>
      <queryTableField id="8" name="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88876FD-93B9-43A8-868D-056AE1795629}" autoFormatId="16" applyNumberFormats="0" applyBorderFormats="0" applyFontFormats="0" applyPatternFormats="0" applyAlignmentFormats="0" applyWidthHeightFormats="0">
  <queryTableRefresh nextId="4">
    <queryTableFields count="3">
      <queryTableField id="1" name="Euro Blue" tableColumnId="1"/>
      <queryTableField id="2" name="COMPRA" tableColumnId="2"/>
      <queryTableField id="3" name="VENT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Dólar_hoy__2" displayName="Dólar_hoy__2" ref="A1:H8" tableType="queryTable" totalsRowShown="0">
  <autoFilter ref="A1:H8" xr:uid="{00000000-0009-0000-0100-000004000000}"/>
  <tableColumns count="8">
    <tableColumn id="1" xr3:uid="{00000000-0010-0000-0000-000001000000}" uniqueName="1" name="Column1" queryTableFieldId="1" dataDxfId="72"/>
    <tableColumn id="2" xr3:uid="{00000000-0010-0000-0000-000002000000}" uniqueName="2" name="Compra" queryTableFieldId="2" dataDxfId="71"/>
    <tableColumn id="3" xr3:uid="{00000000-0010-0000-0000-000003000000}" uniqueName="3" name="Venta" queryTableFieldId="3" dataDxfId="70"/>
    <tableColumn id="4" xr3:uid="{00000000-0010-0000-0000-000004000000}" uniqueName="4" name="+30%" queryTableFieldId="4" dataDxfId="69"/>
    <tableColumn id="5" xr3:uid="{00000000-0010-0000-0000-000005000000}" uniqueName="5" name="+30% +35%" queryTableFieldId="5" dataDxfId="68"/>
    <tableColumn id="6" xr3:uid="{00000000-0010-0000-0000-000006000000}" uniqueName="6" name="Variación" queryTableFieldId="6" dataDxfId="67"/>
    <tableColumn id="7" xr3:uid="{00000000-0010-0000-0000-000007000000}" uniqueName="7" name="Spread" queryTableFieldId="7" dataDxfId="66"/>
    <tableColumn id="8" xr3:uid="{00000000-0010-0000-0000-000008000000}" uniqueName="8" name="2" queryTableFieldId="8" dataDxfId="6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35E916-9DB0-4F36-921F-5C160CEED4E1}" name="Euro_Blue__24" displayName="Euro_Blue__24" ref="A1:C3" tableType="queryTable" totalsRowShown="0">
  <autoFilter ref="A1:C3" xr:uid="{CE35E916-9DB0-4F36-921F-5C160CEED4E1}"/>
  <tableColumns count="3">
    <tableColumn id="1" xr3:uid="{1EB661E5-3A36-4737-8BD4-BBD07ABC4D6A}" uniqueName="1" name="Euro Blue" queryTableFieldId="1" dataDxfId="64"/>
    <tableColumn id="2" xr3:uid="{A05F5C6C-31D0-4175-A73B-DA39EA66887B}" uniqueName="2" name="COMPRA" queryTableFieldId="2" dataDxfId="63"/>
    <tableColumn id="3" xr3:uid="{C65D9E2F-98C0-4B27-B952-6776A648E6A4}" uniqueName="3" name="VENTA" queryTableFieldId="3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Movimientos" displayName="Movimientos" ref="A1:G677" totalsRowShown="0" headerRowDxfId="61" dataDxfId="60">
  <autoFilter ref="A1:G677" xr:uid="{00000000-0009-0000-0100-000001000000}"/>
  <sortState xmlns:xlrd2="http://schemas.microsoft.com/office/spreadsheetml/2017/richdata2" ref="A116:G677">
    <sortCondition ref="A1:A677"/>
  </sortState>
  <tableColumns count="7">
    <tableColumn id="1" xr3:uid="{00000000-0010-0000-0200-000001000000}" name="FECHA" dataDxfId="59"/>
    <tableColumn id="2" xr3:uid="{00000000-0010-0000-0200-000002000000}" name="ENTRADA" dataDxfId="58"/>
    <tableColumn id="3" xr3:uid="{00000000-0010-0000-0200-000003000000}" name="SALIDA" dataDxfId="57"/>
    <tableColumn id="4" xr3:uid="{00000000-0010-0000-0200-000004000000}" name="TOTAL" dataDxfId="56">
      <calculatedColumnFormula>Movimientos[[#This Row],[ENTRADA]]-Movimientos[[#This Row],[SALIDA]]</calculatedColumnFormula>
    </tableColumn>
    <tableColumn id="5" xr3:uid="{00000000-0010-0000-0200-000005000000}" name="MONEDA" dataDxfId="55"/>
    <tableColumn id="6" xr3:uid="{00000000-0010-0000-0200-000006000000}" name="ORIGEN" dataDxfId="54"/>
    <tableColumn id="7" xr3:uid="{00000000-0010-0000-0200-000007000000}" name="DESTINO" dataDxfId="53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Billeteras7" displayName="Billeteras7" ref="A2:G18" totalsRowShown="0" headerRowDxfId="52" headerRowBorderDxfId="51" tableBorderDxfId="50" totalsRowBorderDxfId="49">
  <autoFilter ref="A2:G18" xr:uid="{00000000-0009-0000-0100-000006000000}"/>
  <tableColumns count="7">
    <tableColumn id="1" xr3:uid="{00000000-0010-0000-0300-000001000000}" name="Destinos" dataDxfId="48"/>
    <tableColumn id="2" xr3:uid="{00000000-0010-0000-0300-000002000000}" name="USD" dataDxfId="47">
      <calculatedColumnFormula>SUMIFS(Movimientos[[#All],[TOTAL]],Movimientos[[#All],[MONEDA]],"USD",Movimientos[[#All],[DESTINO]],A3)</calculatedColumnFormula>
    </tableColumn>
    <tableColumn id="6" xr3:uid="{00000000-0010-0000-0300-000006000000}" name="EUR" dataDxfId="46">
      <calculatedColumnFormula>SUMIFS(Movimientos[[#All],[TOTAL]],Movimientos[[#All],[MONEDA]],"EUR",Movimientos[[#All],[DESTINO]],A3)</calculatedColumnFormula>
    </tableColumn>
    <tableColumn id="3" xr3:uid="{00000000-0010-0000-0300-000003000000}" name="ARG" dataDxfId="45">
      <calculatedColumnFormula>SUMIFS(Movimientos[[#All],[TOTAL]],Movimientos[[#All],[MONEDA]],"ARG",Movimientos[[#All],[DESTINO]],A3)</calculatedColumnFormula>
    </tableColumn>
    <tableColumn id="4" xr3:uid="{00000000-0010-0000-0300-000004000000}" name="TOTAL (ARG)" dataDxfId="44">
      <calculatedColumnFormula>Billeteras7[[#This Row],[USD]]*'Dólar hoy '!$B$14+Billeteras7[[#This Row],[EUR]]*'Euro Blue'!$E$5+Billeteras7[[#This Row],[ARG]]</calculatedColumnFormula>
    </tableColumn>
    <tableColumn id="5" xr3:uid="{00000000-0010-0000-0300-000005000000}" name="Objetivo" dataDxfId="43"/>
    <tableColumn id="7" xr3:uid="{00000000-0010-0000-0300-000007000000}" name="Vencimiento" dataDxfId="42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versiones" displayName="Inversiones" ref="A1:H6" totalsRowShown="0">
  <autoFilter ref="A1:H6" xr:uid="{00000000-0009-0000-0100-000005000000}"/>
  <tableColumns count="8">
    <tableColumn id="1" xr3:uid="{00000000-0010-0000-0400-000001000000}" name="Vencimiento" dataDxfId="41"/>
    <tableColumn id="2" xr3:uid="{00000000-0010-0000-0400-000002000000}" name="Tipo"/>
    <tableColumn id="3" xr3:uid="{00000000-0010-0000-0400-000003000000}" name="Moneda" dataDxfId="40"/>
    <tableColumn id="4" xr3:uid="{00000000-0010-0000-0400-000004000000}" name="Capital" dataDxfId="39"/>
    <tableColumn id="5" xr3:uid="{00000000-0010-0000-0400-000005000000}" name="Tasa Nominal Anual" dataDxfId="38"/>
    <tableColumn id="6" xr3:uid="{00000000-0010-0000-0400-000006000000}" name="Importe al vencimiento"/>
    <tableColumn id="7" xr3:uid="{00000000-0010-0000-0400-000007000000}" name="Tiempo restante " dataDxfId="37"/>
    <tableColumn id="8" xr3:uid="{00000000-0010-0000-0400-000008000000}" name="Ganancia unitaria" dataDxfId="36">
      <calculatedColumnFormula>Inversiones[[#This Row],[Importe al vencimiento]]-Inversiones[[#This Row],[Capital]]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/>
  </sheetViews>
  <sheetFormatPr baseColWidth="10" defaultColWidth="10.85546875" defaultRowHeight="15" x14ac:dyDescent="0.25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25"/>
  <sheetViews>
    <sheetView workbookViewId="0">
      <selection activeCell="C5" sqref="C5"/>
    </sheetView>
  </sheetViews>
  <sheetFormatPr baseColWidth="10" defaultColWidth="10.85546875" defaultRowHeight="15" x14ac:dyDescent="0.25"/>
  <cols>
    <col min="1" max="1" width="67.28515625" bestFit="1" customWidth="1"/>
    <col min="2" max="4" width="14.85546875" bestFit="1" customWidth="1"/>
    <col min="5" max="5" width="21.7109375" bestFit="1" customWidth="1"/>
    <col min="6" max="6" width="11.5703125" bestFit="1" customWidth="1"/>
    <col min="7" max="7" width="9.42578125" bestFit="1" customWidth="1"/>
    <col min="8" max="8" width="46" bestFit="1" customWidth="1"/>
  </cols>
  <sheetData>
    <row r="1" spans="1:8" x14ac:dyDescent="0.25">
      <c r="A1" t="s">
        <v>17</v>
      </c>
      <c r="B1" t="s">
        <v>23</v>
      </c>
      <c r="C1" t="s">
        <v>24</v>
      </c>
      <c r="D1" t="s">
        <v>26</v>
      </c>
      <c r="E1" t="s">
        <v>27</v>
      </c>
      <c r="F1" t="s">
        <v>28</v>
      </c>
      <c r="G1" t="s">
        <v>29</v>
      </c>
      <c r="H1" t="s">
        <v>18</v>
      </c>
    </row>
    <row r="2" spans="1:8" x14ac:dyDescent="0.25">
      <c r="A2" t="s">
        <v>65</v>
      </c>
      <c r="B2" t="s">
        <v>66</v>
      </c>
      <c r="C2" t="s">
        <v>67</v>
      </c>
      <c r="D2" t="s">
        <v>30</v>
      </c>
      <c r="E2" t="s">
        <v>30</v>
      </c>
      <c r="F2" t="s">
        <v>68</v>
      </c>
      <c r="G2" t="s">
        <v>55</v>
      </c>
      <c r="H2" t="s">
        <v>69</v>
      </c>
    </row>
    <row r="3" spans="1:8" x14ac:dyDescent="0.25">
      <c r="A3" t="s">
        <v>70</v>
      </c>
      <c r="B3" t="s">
        <v>71</v>
      </c>
      <c r="C3" t="s">
        <v>72</v>
      </c>
      <c r="D3" t="s">
        <v>73</v>
      </c>
      <c r="E3" t="s">
        <v>74</v>
      </c>
      <c r="F3" t="s">
        <v>63</v>
      </c>
      <c r="G3" t="s">
        <v>62</v>
      </c>
      <c r="H3" t="s">
        <v>75</v>
      </c>
    </row>
    <row r="4" spans="1:8" x14ac:dyDescent="0.25">
      <c r="A4" t="s">
        <v>76</v>
      </c>
      <c r="B4" t="s">
        <v>77</v>
      </c>
      <c r="C4" t="s">
        <v>78</v>
      </c>
      <c r="D4" t="s">
        <v>30</v>
      </c>
      <c r="E4" t="s">
        <v>30</v>
      </c>
      <c r="F4" t="s">
        <v>79</v>
      </c>
      <c r="G4" t="s">
        <v>80</v>
      </c>
      <c r="H4" t="s">
        <v>69</v>
      </c>
    </row>
    <row r="5" spans="1:8" x14ac:dyDescent="0.25">
      <c r="A5" t="s">
        <v>81</v>
      </c>
      <c r="B5" t="s">
        <v>82</v>
      </c>
      <c r="C5" t="s">
        <v>83</v>
      </c>
      <c r="D5" t="s">
        <v>30</v>
      </c>
      <c r="E5" t="s">
        <v>30</v>
      </c>
      <c r="F5" t="s">
        <v>64</v>
      </c>
      <c r="G5" t="s">
        <v>84</v>
      </c>
      <c r="H5" t="s">
        <v>69</v>
      </c>
    </row>
    <row r="6" spans="1:8" s="39" customFormat="1" x14ac:dyDescent="0.25">
      <c r="A6" s="39" t="s">
        <v>85</v>
      </c>
      <c r="B6" s="39" t="s">
        <v>86</v>
      </c>
      <c r="C6" s="39" t="s">
        <v>87</v>
      </c>
      <c r="D6" s="39" t="s">
        <v>88</v>
      </c>
      <c r="E6" s="39" t="s">
        <v>89</v>
      </c>
      <c r="F6" s="39" t="s">
        <v>90</v>
      </c>
      <c r="G6" s="39" t="s">
        <v>91</v>
      </c>
      <c r="H6" s="39" t="s">
        <v>69</v>
      </c>
    </row>
    <row r="7" spans="1:8" x14ac:dyDescent="0.25">
      <c r="A7" t="s">
        <v>92</v>
      </c>
      <c r="B7" t="s">
        <v>93</v>
      </c>
      <c r="C7" t="s">
        <v>94</v>
      </c>
      <c r="D7" t="s">
        <v>95</v>
      </c>
      <c r="E7" t="s">
        <v>96</v>
      </c>
      <c r="F7" t="s">
        <v>97</v>
      </c>
      <c r="G7" t="s">
        <v>98</v>
      </c>
      <c r="H7" t="s">
        <v>69</v>
      </c>
    </row>
    <row r="8" spans="1:8" x14ac:dyDescent="0.25">
      <c r="A8" t="s">
        <v>99</v>
      </c>
      <c r="B8" t="s">
        <v>100</v>
      </c>
      <c r="C8" t="s">
        <v>101</v>
      </c>
      <c r="D8" t="s">
        <v>30</v>
      </c>
      <c r="E8" t="s">
        <v>30</v>
      </c>
      <c r="F8" t="s">
        <v>102</v>
      </c>
      <c r="G8" t="s">
        <v>61</v>
      </c>
      <c r="H8" t="s">
        <v>103</v>
      </c>
    </row>
    <row r="13" spans="1:8" ht="30" x14ac:dyDescent="0.25">
      <c r="A13" s="21" t="s">
        <v>31</v>
      </c>
      <c r="B13" s="16" t="s">
        <v>23</v>
      </c>
      <c r="C13" s="16" t="s">
        <v>24</v>
      </c>
      <c r="D13" s="16" t="s">
        <v>25</v>
      </c>
    </row>
    <row r="14" spans="1:8" x14ac:dyDescent="0.25">
      <c r="A14" s="16" t="s">
        <v>19</v>
      </c>
      <c r="B14" s="17">
        <f>_xlfn.NUMBERVALUE(MID(B2,3,6),",",".")</f>
        <v>407</v>
      </c>
      <c r="C14" s="17">
        <f>_xlfn.NUMBERVALUE(MID(C2,3,6),",",".")</f>
        <v>411</v>
      </c>
      <c r="D14" s="18"/>
      <c r="E14" s="19"/>
    </row>
    <row r="15" spans="1:8" x14ac:dyDescent="0.25">
      <c r="A15" s="16" t="s">
        <v>20</v>
      </c>
      <c r="B15" s="17">
        <f>_xlfn.NUMBERVALUE(MID(B6,3,6),",",".")</f>
        <v>215.85</v>
      </c>
      <c r="C15" s="17">
        <f>_xlfn.NUMBERVALUE(MID(C6,3,6),",",".")</f>
        <v>223.12</v>
      </c>
      <c r="D15" s="17">
        <f>C15*(1.65)</f>
        <v>368.14799999999997</v>
      </c>
    </row>
    <row r="17" spans="1:4" x14ac:dyDescent="0.25">
      <c r="B17" s="19"/>
      <c r="D17" s="19"/>
    </row>
    <row r="18" spans="1:4" x14ac:dyDescent="0.25">
      <c r="C18" s="19"/>
    </row>
    <row r="25" spans="1:4" x14ac:dyDescent="0.25">
      <c r="A25" s="19"/>
      <c r="D25" s="1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5"/>
  <sheetViews>
    <sheetView zoomScaleNormal="100" workbookViewId="0">
      <selection activeCell="C3" sqref="C3"/>
    </sheetView>
  </sheetViews>
  <sheetFormatPr baseColWidth="10" defaultColWidth="30.28515625" defaultRowHeight="15" x14ac:dyDescent="0.25"/>
  <cols>
    <col min="1" max="3" width="11.140625" customWidth="1"/>
    <col min="4" max="4" width="11.7109375" customWidth="1"/>
    <col min="5" max="5" width="16.5703125" customWidth="1"/>
    <col min="6" max="6" width="14.85546875" customWidth="1"/>
  </cols>
  <sheetData>
    <row r="1" spans="1:7" x14ac:dyDescent="0.25">
      <c r="A1" t="s">
        <v>36</v>
      </c>
      <c r="B1" t="s">
        <v>37</v>
      </c>
      <c r="C1" t="s">
        <v>38</v>
      </c>
    </row>
    <row r="2" spans="1:7" x14ac:dyDescent="0.25">
      <c r="A2" t="s">
        <v>36</v>
      </c>
      <c r="B2" t="s">
        <v>56</v>
      </c>
      <c r="C2" t="s">
        <v>57</v>
      </c>
    </row>
    <row r="3" spans="1:7" x14ac:dyDescent="0.25">
      <c r="A3" t="str">
        <f>A2</f>
        <v>Euro Blue</v>
      </c>
      <c r="B3" t="str">
        <f>B2</f>
        <v>$352.00</v>
      </c>
      <c r="C3" t="str">
        <f>C2</f>
        <v>$355.00</v>
      </c>
    </row>
    <row r="4" spans="1:7" ht="30" x14ac:dyDescent="0.25">
      <c r="D4" s="21" t="s">
        <v>31</v>
      </c>
      <c r="E4" s="16" t="s">
        <v>23</v>
      </c>
      <c r="F4" s="16" t="s">
        <v>24</v>
      </c>
      <c r="G4" s="16" t="s">
        <v>25</v>
      </c>
    </row>
    <row r="5" spans="1:7" x14ac:dyDescent="0.25">
      <c r="D5" s="16" t="s">
        <v>19</v>
      </c>
      <c r="E5" s="17">
        <f>_xlfn.NUMBERVALUE(MID(B3,2,6),".",",")</f>
        <v>352</v>
      </c>
      <c r="F5" s="17">
        <f>_xlfn.NUMBERVALUE(MID(C3,1,6),".",",")</f>
        <v>355</v>
      </c>
      <c r="G5" s="1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V677"/>
  <sheetViews>
    <sheetView tabSelected="1" zoomScale="115" zoomScaleNormal="115" workbookViewId="0">
      <pane ySplit="1" topLeftCell="A2" activePane="bottomLeft" state="frozen"/>
      <selection pane="bottomLeft" activeCell="I10" sqref="I10"/>
    </sheetView>
  </sheetViews>
  <sheetFormatPr baseColWidth="10" defaultColWidth="10.85546875" defaultRowHeight="15.75" customHeight="1" x14ac:dyDescent="0.25"/>
  <cols>
    <col min="1" max="1" width="12" style="2" bestFit="1" customWidth="1"/>
    <col min="2" max="3" width="18" style="3" customWidth="1"/>
    <col min="4" max="4" width="19.7109375" style="9" bestFit="1" customWidth="1"/>
    <col min="5" max="5" width="12.85546875" style="2" customWidth="1"/>
    <col min="6" max="6" width="23.5703125" style="2" bestFit="1" customWidth="1"/>
    <col min="7" max="7" width="14.85546875" style="2" bestFit="1" customWidth="1"/>
    <col min="8" max="8" width="16.5703125" customWidth="1"/>
    <col min="9" max="9" width="21.42578125" bestFit="1" customWidth="1"/>
    <col min="10" max="10" width="14" bestFit="1" customWidth="1"/>
    <col min="11" max="11" width="12.85546875" bestFit="1" customWidth="1"/>
    <col min="12" max="12" width="21.42578125" bestFit="1" customWidth="1"/>
    <col min="13" max="13" width="17.7109375" bestFit="1" customWidth="1"/>
    <col min="14" max="14" width="15.7109375" customWidth="1"/>
    <col min="15" max="15" width="26" bestFit="1" customWidth="1"/>
    <col min="16" max="16" width="14.140625" bestFit="1" customWidth="1"/>
    <col min="17" max="17" width="12.85546875" bestFit="1" customWidth="1"/>
    <col min="18" max="18" width="15.5703125" bestFit="1" customWidth="1"/>
    <col min="19" max="19" width="14" bestFit="1" customWidth="1"/>
    <col min="20" max="20" width="9.42578125" customWidth="1"/>
  </cols>
  <sheetData>
    <row r="1" spans="1:22" s="2" customFormat="1" ht="32.25" customHeight="1" thickBot="1" x14ac:dyDescent="0.3">
      <c r="A1" s="2" t="s">
        <v>0</v>
      </c>
      <c r="B1" s="3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I1" s="11" t="s">
        <v>22</v>
      </c>
      <c r="J1" s="51">
        <f>J2+J3*'Dólar hoy '!B14+J4*'Euro Blue'!E5</f>
        <v>0</v>
      </c>
      <c r="K1" s="52"/>
    </row>
    <row r="2" spans="1:22" ht="15.75" customHeight="1" thickBot="1" x14ac:dyDescent="0.3">
      <c r="A2" s="10"/>
      <c r="D2" s="9">
        <f>Movimientos[[#This Row],[ENTRADA]]-Movimientos[[#This Row],[SALIDA]]</f>
        <v>0</v>
      </c>
      <c r="I2" s="11" t="s">
        <v>15</v>
      </c>
      <c r="J2" s="51">
        <f>SUMIF(Movimientos[[#All],[MONEDA]],"ARG",Movimientos[[#All],[TOTAL]])</f>
        <v>0</v>
      </c>
      <c r="K2" s="52"/>
    </row>
    <row r="3" spans="1:22" ht="15.75" customHeight="1" thickBot="1" x14ac:dyDescent="0.3">
      <c r="A3" s="10"/>
      <c r="D3" s="9">
        <f>Movimientos[[#This Row],[ENTRADA]]-Movimientos[[#This Row],[SALIDA]]</f>
        <v>0</v>
      </c>
      <c r="I3" s="11" t="s">
        <v>16</v>
      </c>
      <c r="J3" s="49">
        <f>SUMIF(Movimientos[[#All],[MONEDA]],"USD",Movimientos[[#All],[TOTAL]])</f>
        <v>0</v>
      </c>
      <c r="K3" s="50"/>
    </row>
    <row r="4" spans="1:22" ht="15.75" customHeight="1" thickBot="1" x14ac:dyDescent="0.3">
      <c r="A4" s="10"/>
      <c r="D4" s="9">
        <f>Movimientos[[#This Row],[ENTRADA]]-Movimientos[[#This Row],[SALIDA]]</f>
        <v>0</v>
      </c>
      <c r="I4" s="11" t="s">
        <v>39</v>
      </c>
      <c r="J4" s="53">
        <f>SUMIF(Movimientos[[#All],[MONEDA]],"EUR",Movimientos[[#All],[TOTAL]])</f>
        <v>0</v>
      </c>
      <c r="K4" s="54"/>
    </row>
    <row r="5" spans="1:22" ht="15.75" customHeight="1" x14ac:dyDescent="0.25">
      <c r="A5" s="10"/>
      <c r="D5" s="9">
        <f>Movimientos[[#This Row],[ENTRADA]]-Movimientos[[#This Row],[SALIDA]]</f>
        <v>0</v>
      </c>
      <c r="S5" s="1"/>
    </row>
    <row r="6" spans="1:22" ht="15.75" customHeight="1" x14ac:dyDescent="0.25">
      <c r="A6" s="10"/>
      <c r="D6" s="9">
        <f>Movimientos[[#This Row],[ENTRADA]]-Movimientos[[#This Row],[SALIDA]]</f>
        <v>0</v>
      </c>
    </row>
    <row r="7" spans="1:22" ht="15.75" customHeight="1" x14ac:dyDescent="0.25">
      <c r="A7" s="10"/>
      <c r="D7" s="9">
        <f>Movimientos[[#This Row],[ENTRADA]]-Movimientos[[#This Row],[SALIDA]]</f>
        <v>0</v>
      </c>
    </row>
    <row r="8" spans="1:22" ht="15.75" customHeight="1" x14ac:dyDescent="0.25">
      <c r="A8" s="10"/>
      <c r="D8" s="9">
        <f>Movimientos[[#This Row],[ENTRADA]]-Movimientos[[#This Row],[SALIDA]]</f>
        <v>0</v>
      </c>
      <c r="S8" s="19"/>
    </row>
    <row r="9" spans="1:22" ht="15.75" customHeight="1" x14ac:dyDescent="0.25">
      <c r="A9" s="10"/>
      <c r="D9" s="9">
        <f>Movimientos[[#This Row],[ENTRADA]]-Movimientos[[#This Row],[SALIDA]]</f>
        <v>0</v>
      </c>
      <c r="S9" s="19"/>
    </row>
    <row r="10" spans="1:22" ht="15.75" customHeight="1" x14ac:dyDescent="0.25">
      <c r="A10" s="10"/>
      <c r="D10" s="9">
        <f>Movimientos[[#This Row],[ENTRADA]]-Movimientos[[#This Row],[SALIDA]]</f>
        <v>0</v>
      </c>
      <c r="S10" s="19"/>
      <c r="V10" s="8"/>
    </row>
    <row r="11" spans="1:22" ht="15.75" customHeight="1" x14ac:dyDescent="0.25">
      <c r="A11" s="10"/>
      <c r="D11" s="9">
        <f>Movimientos[[#This Row],[ENTRADA]]-Movimientos[[#This Row],[SALIDA]]</f>
        <v>0</v>
      </c>
    </row>
    <row r="12" spans="1:22" ht="15.75" customHeight="1" x14ac:dyDescent="0.25">
      <c r="A12" s="10"/>
      <c r="D12" s="9">
        <f>Movimientos[[#This Row],[ENTRADA]]-Movimientos[[#This Row],[SALIDA]]</f>
        <v>0</v>
      </c>
    </row>
    <row r="13" spans="1:22" ht="15.75" customHeight="1" x14ac:dyDescent="0.25">
      <c r="A13" s="10"/>
      <c r="D13" s="9">
        <f>Movimientos[[#This Row],[ENTRADA]]-Movimientos[[#This Row],[SALIDA]]</f>
        <v>0</v>
      </c>
    </row>
    <row r="14" spans="1:22" ht="15.75" customHeight="1" x14ac:dyDescent="0.25">
      <c r="A14" s="10"/>
      <c r="D14" s="9">
        <f>Movimientos[[#This Row],[ENTRADA]]-Movimientos[[#This Row],[SALIDA]]</f>
        <v>0</v>
      </c>
    </row>
    <row r="15" spans="1:22" ht="15.75" customHeight="1" x14ac:dyDescent="0.25">
      <c r="A15" s="10"/>
      <c r="D15" s="9">
        <f>Movimientos[[#This Row],[ENTRADA]]-Movimientos[[#This Row],[SALIDA]]</f>
        <v>0</v>
      </c>
    </row>
    <row r="16" spans="1:22" ht="15.75" customHeight="1" x14ac:dyDescent="0.25">
      <c r="A16" s="10"/>
      <c r="D16" s="9">
        <f>Movimientos[[#This Row],[ENTRADA]]-Movimientos[[#This Row],[SALIDA]]</f>
        <v>0</v>
      </c>
    </row>
    <row r="17" spans="1:19" ht="15.75" customHeight="1" x14ac:dyDescent="0.25">
      <c r="A17" s="10"/>
      <c r="D17" s="9">
        <f>Movimientos[[#This Row],[ENTRADA]]-Movimientos[[#This Row],[SALIDA]]</f>
        <v>0</v>
      </c>
    </row>
    <row r="18" spans="1:19" ht="15.75" customHeight="1" x14ac:dyDescent="0.25">
      <c r="A18" s="10"/>
      <c r="D18" s="9">
        <f>Movimientos[[#This Row],[ENTRADA]]-Movimientos[[#This Row],[SALIDA]]</f>
        <v>0</v>
      </c>
    </row>
    <row r="19" spans="1:19" ht="15.75" customHeight="1" x14ac:dyDescent="0.25">
      <c r="A19" s="10"/>
      <c r="D19" s="9">
        <f>Movimientos[[#This Row],[ENTRADA]]-Movimientos[[#This Row],[SALIDA]]</f>
        <v>0</v>
      </c>
    </row>
    <row r="20" spans="1:19" ht="15.75" customHeight="1" x14ac:dyDescent="0.25">
      <c r="A20" s="10"/>
      <c r="D20" s="9">
        <f>Movimientos[[#This Row],[ENTRADA]]-Movimientos[[#This Row],[SALIDA]]</f>
        <v>0</v>
      </c>
    </row>
    <row r="21" spans="1:19" ht="15.75" customHeight="1" x14ac:dyDescent="0.25">
      <c r="A21" s="10"/>
      <c r="D21" s="9">
        <f>Movimientos[[#This Row],[ENTRADA]]-Movimientos[[#This Row],[SALIDA]]</f>
        <v>0</v>
      </c>
      <c r="S21" s="19"/>
    </row>
    <row r="22" spans="1:19" ht="15.75" customHeight="1" x14ac:dyDescent="0.25">
      <c r="A22" s="10"/>
      <c r="D22" s="9">
        <f>Movimientos[[#This Row],[ENTRADA]]-Movimientos[[#This Row],[SALIDA]]</f>
        <v>0</v>
      </c>
    </row>
    <row r="23" spans="1:19" ht="15.75" customHeight="1" x14ac:dyDescent="0.25">
      <c r="A23" s="10"/>
      <c r="D23" s="9">
        <f>Movimientos[[#This Row],[ENTRADA]]-Movimientos[[#This Row],[SALIDA]]</f>
        <v>0</v>
      </c>
    </row>
    <row r="24" spans="1:19" ht="15.75" customHeight="1" x14ac:dyDescent="0.25">
      <c r="A24" s="10"/>
      <c r="D24" s="9">
        <f>Movimientos[[#This Row],[ENTRADA]]-Movimientos[[#This Row],[SALIDA]]</f>
        <v>0</v>
      </c>
    </row>
    <row r="25" spans="1:19" ht="15.75" customHeight="1" x14ac:dyDescent="0.25">
      <c r="A25" s="10"/>
      <c r="D25" s="9">
        <f>Movimientos[[#This Row],[ENTRADA]]-Movimientos[[#This Row],[SALIDA]]</f>
        <v>0</v>
      </c>
    </row>
    <row r="26" spans="1:19" ht="15.75" customHeight="1" x14ac:dyDescent="0.25">
      <c r="A26" s="10"/>
      <c r="D26" s="9">
        <f>Movimientos[[#This Row],[ENTRADA]]-Movimientos[[#This Row],[SALIDA]]</f>
        <v>0</v>
      </c>
    </row>
    <row r="27" spans="1:19" ht="15.75" customHeight="1" x14ac:dyDescent="0.25">
      <c r="A27" s="10"/>
      <c r="D27" s="9">
        <f>Movimientos[[#This Row],[ENTRADA]]-Movimientos[[#This Row],[SALIDA]]</f>
        <v>0</v>
      </c>
    </row>
    <row r="28" spans="1:19" ht="15.75" customHeight="1" x14ac:dyDescent="0.25">
      <c r="A28" s="10"/>
      <c r="D28" s="9">
        <f>Movimientos[[#This Row],[ENTRADA]]-Movimientos[[#This Row],[SALIDA]]</f>
        <v>0</v>
      </c>
    </row>
    <row r="29" spans="1:19" ht="15.75" customHeight="1" x14ac:dyDescent="0.25">
      <c r="A29" s="10"/>
      <c r="D29" s="9">
        <f>Movimientos[[#This Row],[ENTRADA]]-Movimientos[[#This Row],[SALIDA]]</f>
        <v>0</v>
      </c>
    </row>
    <row r="30" spans="1:19" ht="15.75" customHeight="1" x14ac:dyDescent="0.25">
      <c r="A30" s="10"/>
      <c r="D30" s="9">
        <f>Movimientos[[#This Row],[ENTRADA]]-Movimientos[[#This Row],[SALIDA]]</f>
        <v>0</v>
      </c>
    </row>
    <row r="31" spans="1:19" ht="15.75" customHeight="1" x14ac:dyDescent="0.25">
      <c r="A31" s="10"/>
      <c r="D31" s="9">
        <f>Movimientos[[#This Row],[ENTRADA]]-Movimientos[[#This Row],[SALIDA]]</f>
        <v>0</v>
      </c>
    </row>
    <row r="32" spans="1:19" ht="15.75" customHeight="1" x14ac:dyDescent="0.25">
      <c r="A32" s="10"/>
      <c r="D32" s="9">
        <f>Movimientos[[#This Row],[ENTRADA]]-Movimientos[[#This Row],[SALIDA]]</f>
        <v>0</v>
      </c>
    </row>
    <row r="33" spans="1:4" ht="15.75" customHeight="1" x14ac:dyDescent="0.25">
      <c r="A33" s="10"/>
      <c r="D33" s="9">
        <f>Movimientos[[#This Row],[ENTRADA]]-Movimientos[[#This Row],[SALIDA]]</f>
        <v>0</v>
      </c>
    </row>
    <row r="34" spans="1:4" ht="15.75" customHeight="1" x14ac:dyDescent="0.25">
      <c r="A34" s="10"/>
      <c r="D34" s="9">
        <f>Movimientos[[#This Row],[ENTRADA]]-Movimientos[[#This Row],[SALIDA]]</f>
        <v>0</v>
      </c>
    </row>
    <row r="35" spans="1:4" ht="15.75" customHeight="1" x14ac:dyDescent="0.25">
      <c r="A35" s="10"/>
      <c r="D35" s="9">
        <f>Movimientos[[#This Row],[ENTRADA]]-Movimientos[[#This Row],[SALIDA]]</f>
        <v>0</v>
      </c>
    </row>
    <row r="36" spans="1:4" ht="15.75" customHeight="1" x14ac:dyDescent="0.25">
      <c r="A36" s="10"/>
      <c r="D36" s="9">
        <f>Movimientos[[#This Row],[ENTRADA]]-Movimientos[[#This Row],[SALIDA]]</f>
        <v>0</v>
      </c>
    </row>
    <row r="37" spans="1:4" ht="15.75" customHeight="1" x14ac:dyDescent="0.25">
      <c r="A37" s="10"/>
      <c r="D37" s="9">
        <f>Movimientos[[#This Row],[ENTRADA]]-Movimientos[[#This Row],[SALIDA]]</f>
        <v>0</v>
      </c>
    </row>
    <row r="38" spans="1:4" ht="15.75" customHeight="1" x14ac:dyDescent="0.25">
      <c r="A38" s="10"/>
      <c r="D38" s="9">
        <f>Movimientos[[#This Row],[ENTRADA]]-Movimientos[[#This Row],[SALIDA]]</f>
        <v>0</v>
      </c>
    </row>
    <row r="39" spans="1:4" ht="15.75" customHeight="1" x14ac:dyDescent="0.25">
      <c r="A39" s="10"/>
      <c r="D39" s="9">
        <f>Movimientos[[#This Row],[ENTRADA]]-Movimientos[[#This Row],[SALIDA]]</f>
        <v>0</v>
      </c>
    </row>
    <row r="40" spans="1:4" ht="15.75" customHeight="1" x14ac:dyDescent="0.25">
      <c r="A40" s="10"/>
      <c r="D40" s="9">
        <f>Movimientos[[#This Row],[ENTRADA]]-Movimientos[[#This Row],[SALIDA]]</f>
        <v>0</v>
      </c>
    </row>
    <row r="41" spans="1:4" ht="15.75" customHeight="1" x14ac:dyDescent="0.25">
      <c r="A41" s="10"/>
      <c r="D41" s="9">
        <f>Movimientos[[#This Row],[ENTRADA]]-Movimientos[[#This Row],[SALIDA]]</f>
        <v>0</v>
      </c>
    </row>
    <row r="42" spans="1:4" ht="15.75" customHeight="1" x14ac:dyDescent="0.25">
      <c r="A42" s="10"/>
      <c r="D42" s="9">
        <f>Movimientos[[#This Row],[ENTRADA]]-Movimientos[[#This Row],[SALIDA]]</f>
        <v>0</v>
      </c>
    </row>
    <row r="43" spans="1:4" ht="15.75" customHeight="1" x14ac:dyDescent="0.25">
      <c r="A43" s="10"/>
      <c r="D43" s="9">
        <f>Movimientos[[#This Row],[ENTRADA]]-Movimientos[[#This Row],[SALIDA]]</f>
        <v>0</v>
      </c>
    </row>
    <row r="44" spans="1:4" ht="15.75" customHeight="1" x14ac:dyDescent="0.25">
      <c r="A44" s="10"/>
      <c r="D44" s="9">
        <f>Movimientos[[#This Row],[ENTRADA]]-Movimientos[[#This Row],[SALIDA]]</f>
        <v>0</v>
      </c>
    </row>
    <row r="45" spans="1:4" ht="15.75" customHeight="1" x14ac:dyDescent="0.25">
      <c r="A45" s="10"/>
      <c r="D45" s="9">
        <f>Movimientos[[#This Row],[ENTRADA]]-Movimientos[[#This Row],[SALIDA]]</f>
        <v>0</v>
      </c>
    </row>
    <row r="46" spans="1:4" ht="15.75" customHeight="1" x14ac:dyDescent="0.25">
      <c r="A46" s="10"/>
      <c r="D46" s="9">
        <f>Movimientos[[#This Row],[ENTRADA]]-Movimientos[[#This Row],[SALIDA]]</f>
        <v>0</v>
      </c>
    </row>
    <row r="47" spans="1:4" ht="15.75" customHeight="1" x14ac:dyDescent="0.25">
      <c r="A47" s="10"/>
      <c r="D47" s="9">
        <f>Movimientos[[#This Row],[ENTRADA]]-Movimientos[[#This Row],[SALIDA]]</f>
        <v>0</v>
      </c>
    </row>
    <row r="48" spans="1:4" ht="15.75" customHeight="1" x14ac:dyDescent="0.25">
      <c r="A48" s="10"/>
      <c r="D48" s="9">
        <f>Movimientos[[#This Row],[ENTRADA]]-Movimientos[[#This Row],[SALIDA]]</f>
        <v>0</v>
      </c>
    </row>
    <row r="49" spans="1:4" ht="15.75" customHeight="1" x14ac:dyDescent="0.25">
      <c r="A49" s="10"/>
      <c r="D49" s="9">
        <f>Movimientos[[#This Row],[ENTRADA]]-Movimientos[[#This Row],[SALIDA]]</f>
        <v>0</v>
      </c>
    </row>
    <row r="50" spans="1:4" ht="15.75" customHeight="1" x14ac:dyDescent="0.25">
      <c r="A50" s="10"/>
      <c r="D50" s="9">
        <f>Movimientos[[#This Row],[ENTRADA]]-Movimientos[[#This Row],[SALIDA]]</f>
        <v>0</v>
      </c>
    </row>
    <row r="51" spans="1:4" ht="15.75" customHeight="1" x14ac:dyDescent="0.25">
      <c r="A51" s="10"/>
      <c r="D51" s="9">
        <f>Movimientos[[#This Row],[ENTRADA]]-Movimientos[[#This Row],[SALIDA]]</f>
        <v>0</v>
      </c>
    </row>
    <row r="52" spans="1:4" ht="15.75" customHeight="1" x14ac:dyDescent="0.25">
      <c r="A52" s="10"/>
      <c r="D52" s="9">
        <f>Movimientos[[#This Row],[ENTRADA]]-Movimientos[[#This Row],[SALIDA]]</f>
        <v>0</v>
      </c>
    </row>
    <row r="53" spans="1:4" ht="15.75" customHeight="1" x14ac:dyDescent="0.25">
      <c r="A53" s="10"/>
      <c r="D53" s="9">
        <f>Movimientos[[#This Row],[ENTRADA]]-Movimientos[[#This Row],[SALIDA]]</f>
        <v>0</v>
      </c>
    </row>
    <row r="54" spans="1:4" ht="15.75" customHeight="1" x14ac:dyDescent="0.25">
      <c r="A54" s="10"/>
      <c r="D54" s="9">
        <f>Movimientos[[#This Row],[ENTRADA]]-Movimientos[[#This Row],[SALIDA]]</f>
        <v>0</v>
      </c>
    </row>
    <row r="55" spans="1:4" ht="15.75" customHeight="1" x14ac:dyDescent="0.25">
      <c r="A55" s="10"/>
      <c r="D55" s="9">
        <f>Movimientos[[#This Row],[ENTRADA]]-Movimientos[[#This Row],[SALIDA]]</f>
        <v>0</v>
      </c>
    </row>
    <row r="56" spans="1:4" ht="15.75" customHeight="1" x14ac:dyDescent="0.25">
      <c r="A56" s="10"/>
      <c r="D56" s="9">
        <f>Movimientos[[#This Row],[ENTRADA]]-Movimientos[[#This Row],[SALIDA]]</f>
        <v>0</v>
      </c>
    </row>
    <row r="57" spans="1:4" ht="15.75" customHeight="1" x14ac:dyDescent="0.25">
      <c r="A57" s="10"/>
      <c r="D57" s="9">
        <f>Movimientos[[#This Row],[ENTRADA]]-Movimientos[[#This Row],[SALIDA]]</f>
        <v>0</v>
      </c>
    </row>
    <row r="58" spans="1:4" ht="15.75" customHeight="1" x14ac:dyDescent="0.25">
      <c r="A58" s="10"/>
      <c r="D58" s="9">
        <f>Movimientos[[#This Row],[ENTRADA]]-Movimientos[[#This Row],[SALIDA]]</f>
        <v>0</v>
      </c>
    </row>
    <row r="59" spans="1:4" ht="15.75" customHeight="1" x14ac:dyDescent="0.25">
      <c r="A59" s="10"/>
      <c r="D59" s="9">
        <f>Movimientos[[#This Row],[ENTRADA]]-Movimientos[[#This Row],[SALIDA]]</f>
        <v>0</v>
      </c>
    </row>
    <row r="60" spans="1:4" ht="15.75" customHeight="1" x14ac:dyDescent="0.25">
      <c r="A60" s="10"/>
      <c r="D60" s="9">
        <f>Movimientos[[#This Row],[ENTRADA]]-Movimientos[[#This Row],[SALIDA]]</f>
        <v>0</v>
      </c>
    </row>
    <row r="61" spans="1:4" ht="15.75" customHeight="1" x14ac:dyDescent="0.25">
      <c r="A61" s="10"/>
      <c r="D61" s="9">
        <f>Movimientos[[#This Row],[ENTRADA]]-Movimientos[[#This Row],[SALIDA]]</f>
        <v>0</v>
      </c>
    </row>
    <row r="62" spans="1:4" ht="15.75" customHeight="1" x14ac:dyDescent="0.25">
      <c r="A62" s="10"/>
      <c r="D62" s="9">
        <f>Movimientos[[#This Row],[ENTRADA]]-Movimientos[[#This Row],[SALIDA]]</f>
        <v>0</v>
      </c>
    </row>
    <row r="63" spans="1:4" ht="15.75" customHeight="1" x14ac:dyDescent="0.25">
      <c r="A63" s="10"/>
      <c r="D63" s="9">
        <f>Movimientos[[#This Row],[ENTRADA]]-Movimientos[[#This Row],[SALIDA]]</f>
        <v>0</v>
      </c>
    </row>
    <row r="64" spans="1:4" ht="15.75" customHeight="1" x14ac:dyDescent="0.25">
      <c r="A64" s="10"/>
      <c r="D64" s="9">
        <f>Movimientos[[#This Row],[ENTRADA]]-Movimientos[[#This Row],[SALIDA]]</f>
        <v>0</v>
      </c>
    </row>
    <row r="65" spans="1:4" ht="15.75" customHeight="1" x14ac:dyDescent="0.25">
      <c r="A65" s="10"/>
      <c r="D65" s="9">
        <f>Movimientos[[#This Row],[ENTRADA]]-Movimientos[[#This Row],[SALIDA]]</f>
        <v>0</v>
      </c>
    </row>
    <row r="66" spans="1:4" ht="15.75" customHeight="1" x14ac:dyDescent="0.25">
      <c r="A66" s="10"/>
      <c r="D66" s="9">
        <f>Movimientos[[#This Row],[ENTRADA]]-Movimientos[[#This Row],[SALIDA]]</f>
        <v>0</v>
      </c>
    </row>
    <row r="67" spans="1:4" ht="15.75" customHeight="1" x14ac:dyDescent="0.25">
      <c r="A67" s="10"/>
      <c r="D67" s="9">
        <f>Movimientos[[#This Row],[ENTRADA]]-Movimientos[[#This Row],[SALIDA]]</f>
        <v>0</v>
      </c>
    </row>
    <row r="68" spans="1:4" ht="15.75" customHeight="1" x14ac:dyDescent="0.25">
      <c r="A68" s="10"/>
      <c r="D68" s="9">
        <f>Movimientos[[#This Row],[ENTRADA]]-Movimientos[[#This Row],[SALIDA]]</f>
        <v>0</v>
      </c>
    </row>
    <row r="69" spans="1:4" ht="15.75" customHeight="1" x14ac:dyDescent="0.25">
      <c r="A69" s="10"/>
      <c r="D69" s="9">
        <f>Movimientos[[#This Row],[ENTRADA]]-Movimientos[[#This Row],[SALIDA]]</f>
        <v>0</v>
      </c>
    </row>
    <row r="70" spans="1:4" ht="15.75" customHeight="1" x14ac:dyDescent="0.25">
      <c r="A70" s="10"/>
      <c r="D70" s="9">
        <f>Movimientos[[#This Row],[ENTRADA]]-Movimientos[[#This Row],[SALIDA]]</f>
        <v>0</v>
      </c>
    </row>
    <row r="71" spans="1:4" ht="15.75" customHeight="1" x14ac:dyDescent="0.25">
      <c r="A71" s="10"/>
      <c r="D71" s="9">
        <f>Movimientos[[#This Row],[ENTRADA]]-Movimientos[[#This Row],[SALIDA]]</f>
        <v>0</v>
      </c>
    </row>
    <row r="72" spans="1:4" ht="15.75" customHeight="1" x14ac:dyDescent="0.25">
      <c r="A72" s="10"/>
      <c r="D72" s="9">
        <f>Movimientos[[#This Row],[ENTRADA]]-Movimientos[[#This Row],[SALIDA]]</f>
        <v>0</v>
      </c>
    </row>
    <row r="73" spans="1:4" ht="15.75" customHeight="1" x14ac:dyDescent="0.25">
      <c r="A73" s="10"/>
      <c r="D73" s="9">
        <f>Movimientos[[#This Row],[ENTRADA]]-Movimientos[[#This Row],[SALIDA]]</f>
        <v>0</v>
      </c>
    </row>
    <row r="74" spans="1:4" ht="15.75" customHeight="1" x14ac:dyDescent="0.25">
      <c r="A74" s="10"/>
      <c r="D74" s="9">
        <f>Movimientos[[#This Row],[ENTRADA]]-Movimientos[[#This Row],[SALIDA]]</f>
        <v>0</v>
      </c>
    </row>
    <row r="75" spans="1:4" ht="15.75" customHeight="1" x14ac:dyDescent="0.25">
      <c r="A75" s="10"/>
      <c r="D75" s="9">
        <f>Movimientos[[#This Row],[ENTRADA]]-Movimientos[[#This Row],[SALIDA]]</f>
        <v>0</v>
      </c>
    </row>
    <row r="76" spans="1:4" ht="15.75" customHeight="1" x14ac:dyDescent="0.25">
      <c r="A76" s="10"/>
      <c r="D76" s="9">
        <f>Movimientos[[#This Row],[ENTRADA]]-Movimientos[[#This Row],[SALIDA]]</f>
        <v>0</v>
      </c>
    </row>
    <row r="77" spans="1:4" ht="15.75" customHeight="1" x14ac:dyDescent="0.25">
      <c r="A77" s="10"/>
      <c r="D77" s="9">
        <f>Movimientos[[#This Row],[ENTRADA]]-Movimientos[[#This Row],[SALIDA]]</f>
        <v>0</v>
      </c>
    </row>
    <row r="78" spans="1:4" ht="15.75" customHeight="1" x14ac:dyDescent="0.25">
      <c r="A78" s="10"/>
      <c r="D78" s="9">
        <f>Movimientos[[#This Row],[ENTRADA]]-Movimientos[[#This Row],[SALIDA]]</f>
        <v>0</v>
      </c>
    </row>
    <row r="79" spans="1:4" ht="15.75" customHeight="1" x14ac:dyDescent="0.25">
      <c r="A79" s="10"/>
      <c r="D79" s="9">
        <f>Movimientos[[#This Row],[ENTRADA]]-Movimientos[[#This Row],[SALIDA]]</f>
        <v>0</v>
      </c>
    </row>
    <row r="80" spans="1:4" ht="15.75" customHeight="1" x14ac:dyDescent="0.25">
      <c r="A80" s="10"/>
      <c r="D80" s="9">
        <f>Movimientos[[#This Row],[ENTRADA]]-Movimientos[[#This Row],[SALIDA]]</f>
        <v>0</v>
      </c>
    </row>
    <row r="81" spans="1:10" ht="15.75" customHeight="1" x14ac:dyDescent="0.25">
      <c r="A81" s="10"/>
      <c r="D81" s="9">
        <f>Movimientos[[#This Row],[ENTRADA]]-Movimientos[[#This Row],[SALIDA]]</f>
        <v>0</v>
      </c>
    </row>
    <row r="82" spans="1:10" ht="15.75" customHeight="1" x14ac:dyDescent="0.25">
      <c r="A82" s="10"/>
      <c r="D82" s="9">
        <f>Movimientos[[#This Row],[ENTRADA]]-Movimientos[[#This Row],[SALIDA]]</f>
        <v>0</v>
      </c>
    </row>
    <row r="83" spans="1:10" ht="15.75" customHeight="1" x14ac:dyDescent="0.25">
      <c r="A83" s="10"/>
      <c r="D83" s="9">
        <f>Movimientos[[#This Row],[ENTRADA]]-Movimientos[[#This Row],[SALIDA]]</f>
        <v>0</v>
      </c>
    </row>
    <row r="84" spans="1:10" ht="15.75" customHeight="1" x14ac:dyDescent="0.25">
      <c r="A84" s="10"/>
      <c r="D84" s="9">
        <f>Movimientos[[#This Row],[ENTRADA]]-Movimientos[[#This Row],[SALIDA]]</f>
        <v>0</v>
      </c>
    </row>
    <row r="85" spans="1:10" ht="15.75" customHeight="1" x14ac:dyDescent="0.25">
      <c r="A85" s="10"/>
      <c r="D85" s="9">
        <f>Movimientos[[#This Row],[ENTRADA]]-Movimientos[[#This Row],[SALIDA]]</f>
        <v>0</v>
      </c>
    </row>
    <row r="86" spans="1:10" ht="15.75" customHeight="1" x14ac:dyDescent="0.25">
      <c r="A86" s="10"/>
      <c r="D86" s="9">
        <f>Movimientos[[#This Row],[ENTRADA]]-Movimientos[[#This Row],[SALIDA]]</f>
        <v>0</v>
      </c>
    </row>
    <row r="87" spans="1:10" ht="15.75" customHeight="1" x14ac:dyDescent="0.25">
      <c r="A87" s="10"/>
      <c r="D87" s="9">
        <f>Movimientos[[#This Row],[ENTRADA]]-Movimientos[[#This Row],[SALIDA]]</f>
        <v>0</v>
      </c>
    </row>
    <row r="88" spans="1:10" ht="15.75" customHeight="1" x14ac:dyDescent="0.25">
      <c r="A88" s="10"/>
      <c r="D88" s="9">
        <f>Movimientos[[#This Row],[ENTRADA]]-Movimientos[[#This Row],[SALIDA]]</f>
        <v>0</v>
      </c>
      <c r="J88" s="19"/>
    </row>
    <row r="89" spans="1:10" ht="15.75" customHeight="1" x14ac:dyDescent="0.25">
      <c r="A89" s="10"/>
      <c r="D89" s="9">
        <f>Movimientos[[#This Row],[ENTRADA]]-Movimientos[[#This Row],[SALIDA]]</f>
        <v>0</v>
      </c>
    </row>
    <row r="90" spans="1:10" ht="15.75" customHeight="1" x14ac:dyDescent="0.25">
      <c r="A90" s="10"/>
      <c r="D90" s="9">
        <f>Movimientos[[#This Row],[ENTRADA]]-Movimientos[[#This Row],[SALIDA]]</f>
        <v>0</v>
      </c>
    </row>
    <row r="91" spans="1:10" ht="15.75" customHeight="1" x14ac:dyDescent="0.25">
      <c r="A91" s="10"/>
      <c r="D91" s="9">
        <f>Movimientos[[#This Row],[ENTRADA]]-Movimientos[[#This Row],[SALIDA]]</f>
        <v>0</v>
      </c>
    </row>
    <row r="92" spans="1:10" ht="15.75" customHeight="1" x14ac:dyDescent="0.25">
      <c r="A92" s="10"/>
      <c r="D92" s="9">
        <f>Movimientos[[#This Row],[ENTRADA]]-Movimientos[[#This Row],[SALIDA]]</f>
        <v>0</v>
      </c>
    </row>
    <row r="93" spans="1:10" ht="15.75" customHeight="1" x14ac:dyDescent="0.25">
      <c r="A93" s="10"/>
      <c r="D93" s="9">
        <f>Movimientos[[#This Row],[ENTRADA]]-Movimientos[[#This Row],[SALIDA]]</f>
        <v>0</v>
      </c>
    </row>
    <row r="94" spans="1:10" ht="15.75" customHeight="1" x14ac:dyDescent="0.25">
      <c r="A94" s="10"/>
      <c r="D94" s="9">
        <f>Movimientos[[#This Row],[ENTRADA]]-Movimientos[[#This Row],[SALIDA]]</f>
        <v>0</v>
      </c>
    </row>
    <row r="95" spans="1:10" ht="15.75" customHeight="1" x14ac:dyDescent="0.25">
      <c r="A95" s="10"/>
      <c r="D95" s="9">
        <f>Movimientos[[#This Row],[ENTRADA]]-Movimientos[[#This Row],[SALIDA]]</f>
        <v>0</v>
      </c>
    </row>
    <row r="96" spans="1:10" ht="15.75" customHeight="1" x14ac:dyDescent="0.25">
      <c r="A96" s="10"/>
      <c r="D96" s="9">
        <f>Movimientos[[#This Row],[ENTRADA]]-Movimientos[[#This Row],[SALIDA]]</f>
        <v>0</v>
      </c>
    </row>
    <row r="97" spans="1:4" ht="15.75" customHeight="1" x14ac:dyDescent="0.25">
      <c r="A97" s="10"/>
      <c r="D97" s="9">
        <f>Movimientos[[#This Row],[ENTRADA]]-Movimientos[[#This Row],[SALIDA]]</f>
        <v>0</v>
      </c>
    </row>
    <row r="98" spans="1:4" ht="15.75" customHeight="1" x14ac:dyDescent="0.25">
      <c r="A98" s="10"/>
      <c r="D98" s="9">
        <f>Movimientos[[#This Row],[ENTRADA]]-Movimientos[[#This Row],[SALIDA]]</f>
        <v>0</v>
      </c>
    </row>
    <row r="99" spans="1:4" ht="15.75" customHeight="1" x14ac:dyDescent="0.25">
      <c r="A99" s="10"/>
      <c r="D99" s="9">
        <f>Movimientos[[#This Row],[ENTRADA]]-Movimientos[[#This Row],[SALIDA]]</f>
        <v>0</v>
      </c>
    </row>
    <row r="100" spans="1:4" ht="15.75" customHeight="1" x14ac:dyDescent="0.25">
      <c r="A100" s="10"/>
      <c r="D100" s="9">
        <f>Movimientos[[#This Row],[ENTRADA]]-Movimientos[[#This Row],[SALIDA]]</f>
        <v>0</v>
      </c>
    </row>
    <row r="101" spans="1:4" ht="15.75" customHeight="1" x14ac:dyDescent="0.25">
      <c r="A101" s="10"/>
      <c r="D101" s="9">
        <f>Movimientos[[#This Row],[ENTRADA]]-Movimientos[[#This Row],[SALIDA]]</f>
        <v>0</v>
      </c>
    </row>
    <row r="102" spans="1:4" ht="15.75" customHeight="1" x14ac:dyDescent="0.25">
      <c r="A102" s="10"/>
      <c r="D102" s="9">
        <f>Movimientos[[#This Row],[ENTRADA]]-Movimientos[[#This Row],[SALIDA]]</f>
        <v>0</v>
      </c>
    </row>
    <row r="103" spans="1:4" ht="15.75" customHeight="1" x14ac:dyDescent="0.25">
      <c r="A103" s="10"/>
      <c r="D103" s="9">
        <f>Movimientos[[#This Row],[ENTRADA]]-Movimientos[[#This Row],[SALIDA]]</f>
        <v>0</v>
      </c>
    </row>
    <row r="104" spans="1:4" ht="15.75" customHeight="1" x14ac:dyDescent="0.25">
      <c r="A104" s="10"/>
      <c r="D104" s="9">
        <f>Movimientos[[#This Row],[ENTRADA]]-Movimientos[[#This Row],[SALIDA]]</f>
        <v>0</v>
      </c>
    </row>
    <row r="105" spans="1:4" ht="15.75" customHeight="1" x14ac:dyDescent="0.25">
      <c r="A105" s="10"/>
      <c r="D105" s="9">
        <f>Movimientos[[#This Row],[ENTRADA]]-Movimientos[[#This Row],[SALIDA]]</f>
        <v>0</v>
      </c>
    </row>
    <row r="106" spans="1:4" ht="15.75" customHeight="1" x14ac:dyDescent="0.25">
      <c r="A106" s="10"/>
      <c r="D106" s="9">
        <f>Movimientos[[#This Row],[ENTRADA]]-Movimientos[[#This Row],[SALIDA]]</f>
        <v>0</v>
      </c>
    </row>
    <row r="107" spans="1:4" ht="15.75" customHeight="1" x14ac:dyDescent="0.25">
      <c r="A107" s="10"/>
      <c r="D107" s="9">
        <f>Movimientos[[#This Row],[ENTRADA]]-Movimientos[[#This Row],[SALIDA]]</f>
        <v>0</v>
      </c>
    </row>
    <row r="108" spans="1:4" ht="15.75" customHeight="1" x14ac:dyDescent="0.25">
      <c r="A108" s="10"/>
      <c r="D108" s="9">
        <f>Movimientos[[#This Row],[ENTRADA]]-Movimientos[[#This Row],[SALIDA]]</f>
        <v>0</v>
      </c>
    </row>
    <row r="109" spans="1:4" ht="15.75" customHeight="1" x14ac:dyDescent="0.25">
      <c r="A109" s="10"/>
      <c r="D109" s="9">
        <f>Movimientos[[#This Row],[ENTRADA]]-Movimientos[[#This Row],[SALIDA]]</f>
        <v>0</v>
      </c>
    </row>
    <row r="110" spans="1:4" ht="15.75" customHeight="1" x14ac:dyDescent="0.25">
      <c r="A110" s="10"/>
      <c r="D110" s="9">
        <f>Movimientos[[#This Row],[ENTRADA]]-Movimientos[[#This Row],[SALIDA]]</f>
        <v>0</v>
      </c>
    </row>
    <row r="111" spans="1:4" ht="15.75" customHeight="1" x14ac:dyDescent="0.25">
      <c r="A111" s="10"/>
      <c r="D111" s="9">
        <f>Movimientos[[#This Row],[ENTRADA]]-Movimientos[[#This Row],[SALIDA]]</f>
        <v>0</v>
      </c>
    </row>
    <row r="112" spans="1:4" ht="15.75" customHeight="1" x14ac:dyDescent="0.25">
      <c r="A112" s="10"/>
      <c r="D112" s="9">
        <f>Movimientos[[#This Row],[ENTRADA]]-Movimientos[[#This Row],[SALIDA]]</f>
        <v>0</v>
      </c>
    </row>
    <row r="113" spans="1:4" ht="15.75" customHeight="1" x14ac:dyDescent="0.25">
      <c r="A113" s="10"/>
      <c r="D113" s="9">
        <f>Movimientos[[#This Row],[ENTRADA]]-Movimientos[[#This Row],[SALIDA]]</f>
        <v>0</v>
      </c>
    </row>
    <row r="114" spans="1:4" ht="15.75" customHeight="1" x14ac:dyDescent="0.25">
      <c r="A114" s="10"/>
      <c r="D114" s="9">
        <f>Movimientos[[#This Row],[ENTRADA]]-Movimientos[[#This Row],[SALIDA]]</f>
        <v>0</v>
      </c>
    </row>
    <row r="115" spans="1:4" ht="15.75" customHeight="1" x14ac:dyDescent="0.25">
      <c r="A115" s="10"/>
      <c r="D115" s="9">
        <f>Movimientos[[#This Row],[ENTRADA]]-Movimientos[[#This Row],[SALIDA]]</f>
        <v>0</v>
      </c>
    </row>
    <row r="116" spans="1:4" ht="15.75" customHeight="1" x14ac:dyDescent="0.25">
      <c r="A116" s="10"/>
      <c r="D116" s="9">
        <f>Movimientos[[#This Row],[ENTRADA]]-Movimientos[[#This Row],[SALIDA]]</f>
        <v>0</v>
      </c>
    </row>
    <row r="117" spans="1:4" ht="15.75" customHeight="1" x14ac:dyDescent="0.25">
      <c r="A117" s="10"/>
      <c r="D117" s="9">
        <f>Movimientos[[#This Row],[ENTRADA]]-Movimientos[[#This Row],[SALIDA]]</f>
        <v>0</v>
      </c>
    </row>
    <row r="118" spans="1:4" ht="15.75" customHeight="1" x14ac:dyDescent="0.25">
      <c r="A118" s="10"/>
      <c r="D118" s="9">
        <f>Movimientos[[#This Row],[ENTRADA]]-Movimientos[[#This Row],[SALIDA]]</f>
        <v>0</v>
      </c>
    </row>
    <row r="119" spans="1:4" ht="15.75" customHeight="1" x14ac:dyDescent="0.25">
      <c r="A119" s="10"/>
      <c r="D119" s="9">
        <f>Movimientos[[#This Row],[ENTRADA]]-Movimientos[[#This Row],[SALIDA]]</f>
        <v>0</v>
      </c>
    </row>
    <row r="120" spans="1:4" ht="15.75" customHeight="1" x14ac:dyDescent="0.25">
      <c r="A120" s="10"/>
      <c r="D120" s="9">
        <f>Movimientos[[#This Row],[ENTRADA]]-Movimientos[[#This Row],[SALIDA]]</f>
        <v>0</v>
      </c>
    </row>
    <row r="121" spans="1:4" ht="15.75" customHeight="1" x14ac:dyDescent="0.25">
      <c r="A121" s="10"/>
      <c r="D121" s="9">
        <f>Movimientos[[#This Row],[ENTRADA]]-Movimientos[[#This Row],[SALIDA]]</f>
        <v>0</v>
      </c>
    </row>
    <row r="122" spans="1:4" ht="15.75" customHeight="1" x14ac:dyDescent="0.25">
      <c r="A122" s="10"/>
      <c r="D122" s="9">
        <f>Movimientos[[#This Row],[ENTRADA]]-Movimientos[[#This Row],[SALIDA]]</f>
        <v>0</v>
      </c>
    </row>
    <row r="123" spans="1:4" ht="15.75" customHeight="1" x14ac:dyDescent="0.25">
      <c r="A123" s="10"/>
      <c r="D123" s="9">
        <f>Movimientos[[#This Row],[ENTRADA]]-Movimientos[[#This Row],[SALIDA]]</f>
        <v>0</v>
      </c>
    </row>
    <row r="124" spans="1:4" ht="15.75" customHeight="1" x14ac:dyDescent="0.25">
      <c r="A124" s="10"/>
      <c r="D124" s="9">
        <f>Movimientos[[#This Row],[ENTRADA]]-Movimientos[[#This Row],[SALIDA]]</f>
        <v>0</v>
      </c>
    </row>
    <row r="125" spans="1:4" ht="15.75" customHeight="1" x14ac:dyDescent="0.25">
      <c r="A125" s="10"/>
      <c r="D125" s="9">
        <f>Movimientos[[#This Row],[ENTRADA]]-Movimientos[[#This Row],[SALIDA]]</f>
        <v>0</v>
      </c>
    </row>
    <row r="126" spans="1:4" ht="15.75" customHeight="1" x14ac:dyDescent="0.25">
      <c r="A126" s="10"/>
      <c r="D126" s="9">
        <f>Movimientos[[#This Row],[ENTRADA]]-Movimientos[[#This Row],[SALIDA]]</f>
        <v>0</v>
      </c>
    </row>
    <row r="127" spans="1:4" ht="15.75" customHeight="1" x14ac:dyDescent="0.25">
      <c r="A127" s="10"/>
      <c r="D127" s="9">
        <f>Movimientos[[#This Row],[ENTRADA]]-Movimientos[[#This Row],[SALIDA]]</f>
        <v>0</v>
      </c>
    </row>
    <row r="128" spans="1:4" ht="15.75" customHeight="1" x14ac:dyDescent="0.25">
      <c r="A128" s="10"/>
      <c r="D128" s="9">
        <f>Movimientos[[#This Row],[ENTRADA]]-Movimientos[[#This Row],[SALIDA]]</f>
        <v>0</v>
      </c>
    </row>
    <row r="129" spans="1:4" ht="15.75" customHeight="1" x14ac:dyDescent="0.25">
      <c r="A129" s="10"/>
      <c r="D129" s="9">
        <f>Movimientos[[#This Row],[ENTRADA]]-Movimientos[[#This Row],[SALIDA]]</f>
        <v>0</v>
      </c>
    </row>
    <row r="130" spans="1:4" ht="15.75" customHeight="1" x14ac:dyDescent="0.25">
      <c r="A130" s="10"/>
      <c r="D130" s="9">
        <f>Movimientos[[#This Row],[ENTRADA]]-Movimientos[[#This Row],[SALIDA]]</f>
        <v>0</v>
      </c>
    </row>
    <row r="131" spans="1:4" ht="15.75" customHeight="1" x14ac:dyDescent="0.25">
      <c r="A131" s="10"/>
      <c r="D131" s="9">
        <f>Movimientos[[#This Row],[ENTRADA]]-Movimientos[[#This Row],[SALIDA]]</f>
        <v>0</v>
      </c>
    </row>
    <row r="132" spans="1:4" ht="15.75" customHeight="1" x14ac:dyDescent="0.25">
      <c r="A132" s="10"/>
      <c r="D132" s="9">
        <f>Movimientos[[#This Row],[ENTRADA]]-Movimientos[[#This Row],[SALIDA]]</f>
        <v>0</v>
      </c>
    </row>
    <row r="133" spans="1:4" ht="15.75" customHeight="1" x14ac:dyDescent="0.25">
      <c r="A133" s="10"/>
      <c r="D133" s="9">
        <f>Movimientos[[#This Row],[ENTRADA]]-Movimientos[[#This Row],[SALIDA]]</f>
        <v>0</v>
      </c>
    </row>
    <row r="134" spans="1:4" ht="15.75" customHeight="1" x14ac:dyDescent="0.25">
      <c r="A134" s="10"/>
      <c r="D134" s="9">
        <f>Movimientos[[#This Row],[ENTRADA]]-Movimientos[[#This Row],[SALIDA]]</f>
        <v>0</v>
      </c>
    </row>
    <row r="135" spans="1:4" ht="15.75" customHeight="1" x14ac:dyDescent="0.25">
      <c r="A135" s="10"/>
      <c r="D135" s="9">
        <f>Movimientos[[#This Row],[ENTRADA]]-Movimientos[[#This Row],[SALIDA]]</f>
        <v>0</v>
      </c>
    </row>
    <row r="136" spans="1:4" ht="15.75" customHeight="1" x14ac:dyDescent="0.25">
      <c r="A136" s="10"/>
      <c r="D136" s="9">
        <f>Movimientos[[#This Row],[ENTRADA]]-Movimientos[[#This Row],[SALIDA]]</f>
        <v>0</v>
      </c>
    </row>
    <row r="137" spans="1:4" ht="15.75" customHeight="1" x14ac:dyDescent="0.25">
      <c r="A137" s="10"/>
      <c r="D137" s="9">
        <f>Movimientos[[#This Row],[ENTRADA]]-Movimientos[[#This Row],[SALIDA]]</f>
        <v>0</v>
      </c>
    </row>
    <row r="138" spans="1:4" ht="15.75" customHeight="1" x14ac:dyDescent="0.25">
      <c r="A138" s="10"/>
      <c r="D138" s="9">
        <f>Movimientos[[#This Row],[ENTRADA]]-Movimientos[[#This Row],[SALIDA]]</f>
        <v>0</v>
      </c>
    </row>
    <row r="139" spans="1:4" ht="15.75" customHeight="1" x14ac:dyDescent="0.25">
      <c r="A139" s="10"/>
      <c r="D139" s="9">
        <f>Movimientos[[#This Row],[ENTRADA]]-Movimientos[[#This Row],[SALIDA]]</f>
        <v>0</v>
      </c>
    </row>
    <row r="140" spans="1:4" ht="15.75" customHeight="1" x14ac:dyDescent="0.25">
      <c r="A140" s="10"/>
      <c r="D140" s="9">
        <f>Movimientos[[#This Row],[ENTRADA]]-Movimientos[[#This Row],[SALIDA]]</f>
        <v>0</v>
      </c>
    </row>
    <row r="141" spans="1:4" ht="15.75" customHeight="1" x14ac:dyDescent="0.25">
      <c r="A141" s="10"/>
      <c r="D141" s="9">
        <f>Movimientos[[#This Row],[ENTRADA]]-Movimientos[[#This Row],[SALIDA]]</f>
        <v>0</v>
      </c>
    </row>
    <row r="142" spans="1:4" ht="15.75" customHeight="1" x14ac:dyDescent="0.25">
      <c r="A142" s="10"/>
      <c r="D142" s="9">
        <f>Movimientos[[#This Row],[ENTRADA]]-Movimientos[[#This Row],[SALIDA]]</f>
        <v>0</v>
      </c>
    </row>
    <row r="143" spans="1:4" ht="15.75" customHeight="1" x14ac:dyDescent="0.25">
      <c r="A143" s="10"/>
      <c r="D143" s="9">
        <f>Movimientos[[#This Row],[ENTRADA]]-Movimientos[[#This Row],[SALIDA]]</f>
        <v>0</v>
      </c>
    </row>
    <row r="144" spans="1:4" ht="15.75" customHeight="1" x14ac:dyDescent="0.25">
      <c r="A144" s="10"/>
      <c r="D144" s="9">
        <f>Movimientos[[#This Row],[ENTRADA]]-Movimientos[[#This Row],[SALIDA]]</f>
        <v>0</v>
      </c>
    </row>
    <row r="145" spans="1:4" ht="15.75" customHeight="1" x14ac:dyDescent="0.25">
      <c r="A145" s="10"/>
      <c r="D145" s="9">
        <f>Movimientos[[#This Row],[ENTRADA]]-Movimientos[[#This Row],[SALIDA]]</f>
        <v>0</v>
      </c>
    </row>
    <row r="146" spans="1:4" ht="15.75" customHeight="1" x14ac:dyDescent="0.25">
      <c r="A146" s="10"/>
      <c r="D146" s="9">
        <f>Movimientos[[#This Row],[ENTRADA]]-Movimientos[[#This Row],[SALIDA]]</f>
        <v>0</v>
      </c>
    </row>
    <row r="147" spans="1:4" ht="15.75" customHeight="1" x14ac:dyDescent="0.25">
      <c r="A147" s="10"/>
      <c r="D147" s="9">
        <f>Movimientos[[#This Row],[ENTRADA]]-Movimientos[[#This Row],[SALIDA]]</f>
        <v>0</v>
      </c>
    </row>
    <row r="148" spans="1:4" ht="15.75" customHeight="1" x14ac:dyDescent="0.25">
      <c r="A148" s="10"/>
      <c r="D148" s="9">
        <f>Movimientos[[#This Row],[ENTRADA]]-Movimientos[[#This Row],[SALIDA]]</f>
        <v>0</v>
      </c>
    </row>
    <row r="149" spans="1:4" ht="15.75" customHeight="1" x14ac:dyDescent="0.25">
      <c r="A149" s="10"/>
      <c r="D149" s="9">
        <f>Movimientos[[#This Row],[ENTRADA]]-Movimientos[[#This Row],[SALIDA]]</f>
        <v>0</v>
      </c>
    </row>
    <row r="150" spans="1:4" ht="15.75" customHeight="1" x14ac:dyDescent="0.25">
      <c r="A150" s="10"/>
      <c r="D150" s="9">
        <f>Movimientos[[#This Row],[ENTRADA]]-Movimientos[[#This Row],[SALIDA]]</f>
        <v>0</v>
      </c>
    </row>
    <row r="151" spans="1:4" ht="15.75" customHeight="1" x14ac:dyDescent="0.25">
      <c r="A151" s="10"/>
      <c r="D151" s="9">
        <f>Movimientos[[#This Row],[ENTRADA]]-Movimientos[[#This Row],[SALIDA]]</f>
        <v>0</v>
      </c>
    </row>
    <row r="152" spans="1:4" ht="15.75" customHeight="1" x14ac:dyDescent="0.25">
      <c r="A152" s="10"/>
      <c r="D152" s="9">
        <f>Movimientos[[#This Row],[ENTRADA]]-Movimientos[[#This Row],[SALIDA]]</f>
        <v>0</v>
      </c>
    </row>
    <row r="153" spans="1:4" ht="15.75" customHeight="1" x14ac:dyDescent="0.25">
      <c r="A153" s="10"/>
      <c r="D153" s="9">
        <f>Movimientos[[#This Row],[ENTRADA]]-Movimientos[[#This Row],[SALIDA]]</f>
        <v>0</v>
      </c>
    </row>
    <row r="154" spans="1:4" ht="15.75" customHeight="1" x14ac:dyDescent="0.25">
      <c r="A154" s="10"/>
      <c r="D154" s="9">
        <f>Movimientos[[#This Row],[ENTRADA]]-Movimientos[[#This Row],[SALIDA]]</f>
        <v>0</v>
      </c>
    </row>
    <row r="155" spans="1:4" ht="15.75" customHeight="1" x14ac:dyDescent="0.25">
      <c r="A155" s="10"/>
      <c r="D155" s="9">
        <f>Movimientos[[#This Row],[ENTRADA]]-Movimientos[[#This Row],[SALIDA]]</f>
        <v>0</v>
      </c>
    </row>
    <row r="156" spans="1:4" ht="15.75" customHeight="1" x14ac:dyDescent="0.25">
      <c r="A156" s="10"/>
      <c r="D156" s="9">
        <f>Movimientos[[#This Row],[ENTRADA]]-Movimientos[[#This Row],[SALIDA]]</f>
        <v>0</v>
      </c>
    </row>
    <row r="157" spans="1:4" ht="15.75" customHeight="1" x14ac:dyDescent="0.25">
      <c r="A157" s="10"/>
      <c r="D157" s="9">
        <f>Movimientos[[#This Row],[ENTRADA]]-Movimientos[[#This Row],[SALIDA]]</f>
        <v>0</v>
      </c>
    </row>
    <row r="158" spans="1:4" ht="15.75" customHeight="1" x14ac:dyDescent="0.25">
      <c r="A158" s="10"/>
      <c r="D158" s="9">
        <f>Movimientos[[#This Row],[ENTRADA]]-Movimientos[[#This Row],[SALIDA]]</f>
        <v>0</v>
      </c>
    </row>
    <row r="159" spans="1:4" ht="15.75" customHeight="1" x14ac:dyDescent="0.25">
      <c r="A159" s="10"/>
      <c r="D159" s="9">
        <f>Movimientos[[#This Row],[ENTRADA]]-Movimientos[[#This Row],[SALIDA]]</f>
        <v>0</v>
      </c>
    </row>
    <row r="160" spans="1:4" ht="15.75" customHeight="1" x14ac:dyDescent="0.25">
      <c r="A160" s="10"/>
      <c r="D160" s="9">
        <f>Movimientos[[#This Row],[ENTRADA]]-Movimientos[[#This Row],[SALIDA]]</f>
        <v>0</v>
      </c>
    </row>
    <row r="161" spans="1:4" ht="15.75" customHeight="1" x14ac:dyDescent="0.25">
      <c r="A161" s="10"/>
      <c r="D161" s="9">
        <f>Movimientos[[#This Row],[ENTRADA]]-Movimientos[[#This Row],[SALIDA]]</f>
        <v>0</v>
      </c>
    </row>
    <row r="162" spans="1:4" ht="15.75" customHeight="1" x14ac:dyDescent="0.25">
      <c r="A162" s="10"/>
      <c r="D162" s="9">
        <f>Movimientos[[#This Row],[ENTRADA]]-Movimientos[[#This Row],[SALIDA]]</f>
        <v>0</v>
      </c>
    </row>
    <row r="163" spans="1:4" ht="15.75" customHeight="1" x14ac:dyDescent="0.25">
      <c r="A163" s="10"/>
      <c r="D163" s="9">
        <f>Movimientos[[#This Row],[ENTRADA]]-Movimientos[[#This Row],[SALIDA]]</f>
        <v>0</v>
      </c>
    </row>
    <row r="164" spans="1:4" ht="15.75" customHeight="1" x14ac:dyDescent="0.25">
      <c r="A164" s="10"/>
      <c r="D164" s="9">
        <f>Movimientos[[#This Row],[ENTRADA]]-Movimientos[[#This Row],[SALIDA]]</f>
        <v>0</v>
      </c>
    </row>
    <row r="165" spans="1:4" ht="15.75" customHeight="1" x14ac:dyDescent="0.25">
      <c r="A165" s="10"/>
      <c r="D165" s="9">
        <f>Movimientos[[#This Row],[ENTRADA]]-Movimientos[[#This Row],[SALIDA]]</f>
        <v>0</v>
      </c>
    </row>
    <row r="166" spans="1:4" ht="15.75" customHeight="1" x14ac:dyDescent="0.25">
      <c r="A166" s="10"/>
      <c r="D166" s="9">
        <f>Movimientos[[#This Row],[ENTRADA]]-Movimientos[[#This Row],[SALIDA]]</f>
        <v>0</v>
      </c>
    </row>
    <row r="167" spans="1:4" ht="15.75" customHeight="1" x14ac:dyDescent="0.25">
      <c r="A167" s="10"/>
      <c r="D167" s="9">
        <f>Movimientos[[#This Row],[ENTRADA]]-Movimientos[[#This Row],[SALIDA]]</f>
        <v>0</v>
      </c>
    </row>
    <row r="168" spans="1:4" ht="15.75" customHeight="1" x14ac:dyDescent="0.25">
      <c r="A168" s="10"/>
      <c r="D168" s="9">
        <f>Movimientos[[#This Row],[ENTRADA]]-Movimientos[[#This Row],[SALIDA]]</f>
        <v>0</v>
      </c>
    </row>
    <row r="169" spans="1:4" ht="15.75" customHeight="1" x14ac:dyDescent="0.25">
      <c r="A169" s="10"/>
      <c r="D169" s="9">
        <f>Movimientos[[#This Row],[ENTRADA]]-Movimientos[[#This Row],[SALIDA]]</f>
        <v>0</v>
      </c>
    </row>
    <row r="170" spans="1:4" ht="15.75" customHeight="1" x14ac:dyDescent="0.25">
      <c r="A170" s="10"/>
      <c r="D170" s="9">
        <f>Movimientos[[#This Row],[ENTRADA]]-Movimientos[[#This Row],[SALIDA]]</f>
        <v>0</v>
      </c>
    </row>
    <row r="171" spans="1:4" ht="15.75" customHeight="1" x14ac:dyDescent="0.25">
      <c r="A171" s="10"/>
      <c r="D171" s="9">
        <f>Movimientos[[#This Row],[ENTRADA]]-Movimientos[[#This Row],[SALIDA]]</f>
        <v>0</v>
      </c>
    </row>
    <row r="172" spans="1:4" ht="15.75" customHeight="1" x14ac:dyDescent="0.25">
      <c r="A172" s="10"/>
      <c r="D172" s="9">
        <f>Movimientos[[#This Row],[ENTRADA]]-Movimientos[[#This Row],[SALIDA]]</f>
        <v>0</v>
      </c>
    </row>
    <row r="173" spans="1:4" ht="15.75" customHeight="1" x14ac:dyDescent="0.25">
      <c r="A173" s="10"/>
      <c r="D173" s="9">
        <f>Movimientos[[#This Row],[ENTRADA]]-Movimientos[[#This Row],[SALIDA]]</f>
        <v>0</v>
      </c>
    </row>
    <row r="174" spans="1:4" ht="15.75" customHeight="1" x14ac:dyDescent="0.25">
      <c r="A174" s="10"/>
      <c r="D174" s="9">
        <f>Movimientos[[#This Row],[ENTRADA]]-Movimientos[[#This Row],[SALIDA]]</f>
        <v>0</v>
      </c>
    </row>
    <row r="175" spans="1:4" ht="15.75" customHeight="1" x14ac:dyDescent="0.25">
      <c r="A175" s="10"/>
      <c r="D175" s="9">
        <f>Movimientos[[#This Row],[ENTRADA]]-Movimientos[[#This Row],[SALIDA]]</f>
        <v>0</v>
      </c>
    </row>
    <row r="176" spans="1:4" ht="15.75" customHeight="1" x14ac:dyDescent="0.25">
      <c r="A176" s="10"/>
      <c r="D176" s="9">
        <f>Movimientos[[#This Row],[ENTRADA]]-Movimientos[[#This Row],[SALIDA]]</f>
        <v>0</v>
      </c>
    </row>
    <row r="177" spans="1:4" ht="15.75" customHeight="1" x14ac:dyDescent="0.25">
      <c r="A177" s="10"/>
      <c r="D177" s="9">
        <f>Movimientos[[#This Row],[ENTRADA]]-Movimientos[[#This Row],[SALIDA]]</f>
        <v>0</v>
      </c>
    </row>
    <row r="178" spans="1:4" ht="15.75" customHeight="1" x14ac:dyDescent="0.25">
      <c r="A178" s="10"/>
      <c r="D178" s="9">
        <f>Movimientos[[#This Row],[ENTRADA]]-Movimientos[[#This Row],[SALIDA]]</f>
        <v>0</v>
      </c>
    </row>
    <row r="179" spans="1:4" ht="15.75" customHeight="1" x14ac:dyDescent="0.25">
      <c r="A179" s="10"/>
      <c r="D179" s="9">
        <f>Movimientos[[#This Row],[ENTRADA]]-Movimientos[[#This Row],[SALIDA]]</f>
        <v>0</v>
      </c>
    </row>
    <row r="180" spans="1:4" ht="15.75" customHeight="1" x14ac:dyDescent="0.25">
      <c r="A180" s="10"/>
      <c r="D180" s="9">
        <f>Movimientos[[#This Row],[ENTRADA]]-Movimientos[[#This Row],[SALIDA]]</f>
        <v>0</v>
      </c>
    </row>
    <row r="181" spans="1:4" ht="15.75" customHeight="1" x14ac:dyDescent="0.25">
      <c r="A181" s="10"/>
      <c r="D181" s="9">
        <f>Movimientos[[#This Row],[ENTRADA]]-Movimientos[[#This Row],[SALIDA]]</f>
        <v>0</v>
      </c>
    </row>
    <row r="182" spans="1:4" ht="15.75" customHeight="1" x14ac:dyDescent="0.25">
      <c r="A182" s="10"/>
      <c r="D182" s="9">
        <f>Movimientos[[#This Row],[ENTRADA]]-Movimientos[[#This Row],[SALIDA]]</f>
        <v>0</v>
      </c>
    </row>
    <row r="183" spans="1:4" ht="15.75" customHeight="1" x14ac:dyDescent="0.25">
      <c r="A183" s="10"/>
      <c r="D183" s="9">
        <f>Movimientos[[#This Row],[ENTRADA]]-Movimientos[[#This Row],[SALIDA]]</f>
        <v>0</v>
      </c>
    </row>
    <row r="184" spans="1:4" ht="15.75" customHeight="1" x14ac:dyDescent="0.25">
      <c r="A184" s="10"/>
      <c r="D184" s="9">
        <f>Movimientos[[#This Row],[ENTRADA]]-Movimientos[[#This Row],[SALIDA]]</f>
        <v>0</v>
      </c>
    </row>
    <row r="185" spans="1:4" ht="15.75" customHeight="1" x14ac:dyDescent="0.25">
      <c r="A185" s="10"/>
      <c r="D185" s="9">
        <f>Movimientos[[#This Row],[ENTRADA]]-Movimientos[[#This Row],[SALIDA]]</f>
        <v>0</v>
      </c>
    </row>
    <row r="186" spans="1:4" ht="15.75" customHeight="1" x14ac:dyDescent="0.25">
      <c r="A186" s="10"/>
      <c r="D186" s="9">
        <f>Movimientos[[#This Row],[ENTRADA]]-Movimientos[[#This Row],[SALIDA]]</f>
        <v>0</v>
      </c>
    </row>
    <row r="187" spans="1:4" ht="15.75" customHeight="1" x14ac:dyDescent="0.25">
      <c r="A187" s="10"/>
      <c r="D187" s="9">
        <f>Movimientos[[#This Row],[ENTRADA]]-Movimientos[[#This Row],[SALIDA]]</f>
        <v>0</v>
      </c>
    </row>
    <row r="188" spans="1:4" ht="15.75" customHeight="1" x14ac:dyDescent="0.25">
      <c r="A188" s="10"/>
      <c r="D188" s="9">
        <f>Movimientos[[#This Row],[ENTRADA]]-Movimientos[[#This Row],[SALIDA]]</f>
        <v>0</v>
      </c>
    </row>
    <row r="189" spans="1:4" ht="15.75" customHeight="1" x14ac:dyDescent="0.25">
      <c r="A189" s="10"/>
      <c r="D189" s="9">
        <f>Movimientos[[#This Row],[ENTRADA]]-Movimientos[[#This Row],[SALIDA]]</f>
        <v>0</v>
      </c>
    </row>
    <row r="190" spans="1:4" ht="15.75" customHeight="1" x14ac:dyDescent="0.25">
      <c r="A190" s="10"/>
      <c r="D190" s="9">
        <f>Movimientos[[#This Row],[ENTRADA]]-Movimientos[[#This Row],[SALIDA]]</f>
        <v>0</v>
      </c>
    </row>
    <row r="191" spans="1:4" ht="15.75" customHeight="1" x14ac:dyDescent="0.25">
      <c r="A191" s="10"/>
      <c r="D191" s="9">
        <f>Movimientos[[#This Row],[ENTRADA]]-Movimientos[[#This Row],[SALIDA]]</f>
        <v>0</v>
      </c>
    </row>
    <row r="192" spans="1:4" ht="15.75" customHeight="1" x14ac:dyDescent="0.25">
      <c r="A192" s="10"/>
      <c r="D192" s="9">
        <f>Movimientos[[#This Row],[ENTRADA]]-Movimientos[[#This Row],[SALIDA]]</f>
        <v>0</v>
      </c>
    </row>
    <row r="193" spans="1:4" ht="15.75" customHeight="1" x14ac:dyDescent="0.25">
      <c r="A193" s="10"/>
      <c r="D193" s="9">
        <f>Movimientos[[#This Row],[ENTRADA]]-Movimientos[[#This Row],[SALIDA]]</f>
        <v>0</v>
      </c>
    </row>
    <row r="194" spans="1:4" ht="15.75" customHeight="1" x14ac:dyDescent="0.25">
      <c r="A194" s="10"/>
      <c r="D194" s="9">
        <f>Movimientos[[#This Row],[ENTRADA]]-Movimientos[[#This Row],[SALIDA]]</f>
        <v>0</v>
      </c>
    </row>
    <row r="195" spans="1:4" ht="15.75" customHeight="1" x14ac:dyDescent="0.25">
      <c r="A195" s="10"/>
      <c r="D195" s="9">
        <f>Movimientos[[#This Row],[ENTRADA]]-Movimientos[[#This Row],[SALIDA]]</f>
        <v>0</v>
      </c>
    </row>
    <row r="196" spans="1:4" ht="15.75" customHeight="1" x14ac:dyDescent="0.25">
      <c r="A196" s="10"/>
      <c r="D196" s="9">
        <f>Movimientos[[#This Row],[ENTRADA]]-Movimientos[[#This Row],[SALIDA]]</f>
        <v>0</v>
      </c>
    </row>
    <row r="197" spans="1:4" ht="15.75" customHeight="1" x14ac:dyDescent="0.25">
      <c r="A197" s="10"/>
      <c r="D197" s="9">
        <f>Movimientos[[#This Row],[ENTRADA]]-Movimientos[[#This Row],[SALIDA]]</f>
        <v>0</v>
      </c>
    </row>
    <row r="198" spans="1:4" ht="15.75" customHeight="1" x14ac:dyDescent="0.25">
      <c r="A198" s="10"/>
      <c r="D198" s="9">
        <f>Movimientos[[#This Row],[ENTRADA]]-Movimientos[[#This Row],[SALIDA]]</f>
        <v>0</v>
      </c>
    </row>
    <row r="199" spans="1:4" ht="15.75" customHeight="1" x14ac:dyDescent="0.25">
      <c r="A199" s="10"/>
      <c r="D199" s="9">
        <f>Movimientos[[#This Row],[ENTRADA]]-Movimientos[[#This Row],[SALIDA]]</f>
        <v>0</v>
      </c>
    </row>
    <row r="200" spans="1:4" ht="15.75" customHeight="1" x14ac:dyDescent="0.25">
      <c r="A200" s="10"/>
      <c r="D200" s="9">
        <f>Movimientos[[#This Row],[ENTRADA]]-Movimientos[[#This Row],[SALIDA]]</f>
        <v>0</v>
      </c>
    </row>
    <row r="201" spans="1:4" ht="15.75" customHeight="1" x14ac:dyDescent="0.25">
      <c r="A201" s="10"/>
      <c r="D201" s="9">
        <f>Movimientos[[#This Row],[ENTRADA]]-Movimientos[[#This Row],[SALIDA]]</f>
        <v>0</v>
      </c>
    </row>
    <row r="202" spans="1:4" ht="15.75" customHeight="1" x14ac:dyDescent="0.25">
      <c r="A202" s="10"/>
      <c r="D202" s="9">
        <f>Movimientos[[#This Row],[ENTRADA]]-Movimientos[[#This Row],[SALIDA]]</f>
        <v>0</v>
      </c>
    </row>
    <row r="203" spans="1:4" ht="15.75" customHeight="1" x14ac:dyDescent="0.25">
      <c r="A203" s="10"/>
      <c r="D203" s="9">
        <f>Movimientos[[#This Row],[ENTRADA]]-Movimientos[[#This Row],[SALIDA]]</f>
        <v>0</v>
      </c>
    </row>
    <row r="204" spans="1:4" ht="15.75" customHeight="1" x14ac:dyDescent="0.25">
      <c r="A204" s="10"/>
      <c r="D204" s="9">
        <f>Movimientos[[#This Row],[ENTRADA]]-Movimientos[[#This Row],[SALIDA]]</f>
        <v>0</v>
      </c>
    </row>
    <row r="205" spans="1:4" ht="15.75" customHeight="1" x14ac:dyDescent="0.25">
      <c r="A205" s="10"/>
      <c r="D205" s="9">
        <f>Movimientos[[#This Row],[ENTRADA]]-Movimientos[[#This Row],[SALIDA]]</f>
        <v>0</v>
      </c>
    </row>
    <row r="206" spans="1:4" ht="15.75" customHeight="1" x14ac:dyDescent="0.25">
      <c r="A206" s="10"/>
      <c r="D206" s="9">
        <f>Movimientos[[#This Row],[ENTRADA]]-Movimientos[[#This Row],[SALIDA]]</f>
        <v>0</v>
      </c>
    </row>
    <row r="207" spans="1:4" ht="15.75" customHeight="1" x14ac:dyDescent="0.25">
      <c r="A207" s="10"/>
      <c r="D207" s="9">
        <f>Movimientos[[#This Row],[ENTRADA]]-Movimientos[[#This Row],[SALIDA]]</f>
        <v>0</v>
      </c>
    </row>
    <row r="208" spans="1:4" ht="15.75" customHeight="1" x14ac:dyDescent="0.25">
      <c r="A208" s="10"/>
      <c r="D208" s="9">
        <f>Movimientos[[#This Row],[ENTRADA]]-Movimientos[[#This Row],[SALIDA]]</f>
        <v>0</v>
      </c>
    </row>
    <row r="209" spans="1:4" ht="15.75" customHeight="1" x14ac:dyDescent="0.25">
      <c r="A209" s="10"/>
      <c r="D209" s="9">
        <f>Movimientos[[#This Row],[ENTRADA]]-Movimientos[[#This Row],[SALIDA]]</f>
        <v>0</v>
      </c>
    </row>
    <row r="210" spans="1:4" ht="15.75" customHeight="1" x14ac:dyDescent="0.25">
      <c r="A210" s="10"/>
      <c r="D210" s="9">
        <f>Movimientos[[#This Row],[ENTRADA]]-Movimientos[[#This Row],[SALIDA]]</f>
        <v>0</v>
      </c>
    </row>
    <row r="211" spans="1:4" ht="15.75" customHeight="1" x14ac:dyDescent="0.25">
      <c r="A211" s="10"/>
      <c r="D211" s="9">
        <f>Movimientos[[#This Row],[ENTRADA]]-Movimientos[[#This Row],[SALIDA]]</f>
        <v>0</v>
      </c>
    </row>
    <row r="212" spans="1:4" ht="15.75" customHeight="1" x14ac:dyDescent="0.25">
      <c r="A212" s="10"/>
      <c r="D212" s="9">
        <f>Movimientos[[#This Row],[ENTRADA]]-Movimientos[[#This Row],[SALIDA]]</f>
        <v>0</v>
      </c>
    </row>
    <row r="213" spans="1:4" ht="15.75" customHeight="1" x14ac:dyDescent="0.25">
      <c r="A213" s="10"/>
      <c r="D213" s="9">
        <f>Movimientos[[#This Row],[ENTRADA]]-Movimientos[[#This Row],[SALIDA]]</f>
        <v>0</v>
      </c>
    </row>
    <row r="214" spans="1:4" ht="15.75" customHeight="1" x14ac:dyDescent="0.25">
      <c r="A214" s="10"/>
      <c r="D214" s="9">
        <f>Movimientos[[#This Row],[ENTRADA]]-Movimientos[[#This Row],[SALIDA]]</f>
        <v>0</v>
      </c>
    </row>
    <row r="215" spans="1:4" ht="15.75" customHeight="1" x14ac:dyDescent="0.25">
      <c r="A215" s="10"/>
      <c r="D215" s="9">
        <f>Movimientos[[#This Row],[ENTRADA]]-Movimientos[[#This Row],[SALIDA]]</f>
        <v>0</v>
      </c>
    </row>
    <row r="216" spans="1:4" ht="15.75" customHeight="1" x14ac:dyDescent="0.25">
      <c r="A216" s="10"/>
      <c r="D216" s="9">
        <f>Movimientos[[#This Row],[ENTRADA]]-Movimientos[[#This Row],[SALIDA]]</f>
        <v>0</v>
      </c>
    </row>
    <row r="217" spans="1:4" ht="15.75" customHeight="1" x14ac:dyDescent="0.25">
      <c r="A217" s="10"/>
      <c r="D217" s="9">
        <f>Movimientos[[#This Row],[ENTRADA]]-Movimientos[[#This Row],[SALIDA]]</f>
        <v>0</v>
      </c>
    </row>
    <row r="218" spans="1:4" ht="15.75" customHeight="1" x14ac:dyDescent="0.25">
      <c r="A218" s="10"/>
      <c r="D218" s="9">
        <f>Movimientos[[#This Row],[ENTRADA]]-Movimientos[[#This Row],[SALIDA]]</f>
        <v>0</v>
      </c>
    </row>
    <row r="219" spans="1:4" ht="15.75" customHeight="1" x14ac:dyDescent="0.25">
      <c r="A219" s="10"/>
      <c r="D219" s="9">
        <f>Movimientos[[#This Row],[ENTRADA]]-Movimientos[[#This Row],[SALIDA]]</f>
        <v>0</v>
      </c>
    </row>
    <row r="220" spans="1:4" ht="15.75" customHeight="1" x14ac:dyDescent="0.25">
      <c r="A220" s="10"/>
      <c r="D220" s="9">
        <f>Movimientos[[#This Row],[ENTRADA]]-Movimientos[[#This Row],[SALIDA]]</f>
        <v>0</v>
      </c>
    </row>
    <row r="221" spans="1:4" ht="15.75" customHeight="1" x14ac:dyDescent="0.25">
      <c r="A221" s="10"/>
      <c r="D221" s="9">
        <f>Movimientos[[#This Row],[ENTRADA]]-Movimientos[[#This Row],[SALIDA]]</f>
        <v>0</v>
      </c>
    </row>
    <row r="222" spans="1:4" ht="15.75" customHeight="1" x14ac:dyDescent="0.25">
      <c r="A222" s="10"/>
      <c r="D222" s="9">
        <f>Movimientos[[#This Row],[ENTRADA]]-Movimientos[[#This Row],[SALIDA]]</f>
        <v>0</v>
      </c>
    </row>
    <row r="223" spans="1:4" ht="15.75" customHeight="1" x14ac:dyDescent="0.25">
      <c r="A223" s="10"/>
      <c r="D223" s="9">
        <f>Movimientos[[#This Row],[ENTRADA]]-Movimientos[[#This Row],[SALIDA]]</f>
        <v>0</v>
      </c>
    </row>
    <row r="224" spans="1:4" ht="15.75" customHeight="1" x14ac:dyDescent="0.25">
      <c r="A224" s="10"/>
      <c r="D224" s="9">
        <f>Movimientos[[#This Row],[ENTRADA]]-Movimientos[[#This Row],[SALIDA]]</f>
        <v>0</v>
      </c>
    </row>
    <row r="225" spans="1:4" ht="15.75" customHeight="1" x14ac:dyDescent="0.25">
      <c r="A225" s="10"/>
      <c r="D225" s="9">
        <f>Movimientos[[#This Row],[ENTRADA]]-Movimientos[[#This Row],[SALIDA]]</f>
        <v>0</v>
      </c>
    </row>
    <row r="226" spans="1:4" ht="15.75" customHeight="1" x14ac:dyDescent="0.25">
      <c r="A226" s="10"/>
      <c r="D226" s="9">
        <f>Movimientos[[#This Row],[ENTRADA]]-Movimientos[[#This Row],[SALIDA]]</f>
        <v>0</v>
      </c>
    </row>
    <row r="227" spans="1:4" ht="15.75" customHeight="1" x14ac:dyDescent="0.25">
      <c r="A227" s="10"/>
      <c r="D227" s="9">
        <f>Movimientos[[#This Row],[ENTRADA]]-Movimientos[[#This Row],[SALIDA]]</f>
        <v>0</v>
      </c>
    </row>
    <row r="228" spans="1:4" ht="15.75" customHeight="1" x14ac:dyDescent="0.25">
      <c r="A228" s="10"/>
      <c r="D228" s="9">
        <f>Movimientos[[#This Row],[ENTRADA]]-Movimientos[[#This Row],[SALIDA]]</f>
        <v>0</v>
      </c>
    </row>
    <row r="229" spans="1:4" ht="15.75" customHeight="1" x14ac:dyDescent="0.25">
      <c r="A229" s="10"/>
      <c r="D229" s="9">
        <f>Movimientos[[#This Row],[ENTRADA]]-Movimientos[[#This Row],[SALIDA]]</f>
        <v>0</v>
      </c>
    </row>
    <row r="230" spans="1:4" ht="15.75" customHeight="1" x14ac:dyDescent="0.25">
      <c r="A230" s="10"/>
      <c r="D230" s="9">
        <f>Movimientos[[#This Row],[ENTRADA]]-Movimientos[[#This Row],[SALIDA]]</f>
        <v>0</v>
      </c>
    </row>
    <row r="231" spans="1:4" ht="15.75" customHeight="1" x14ac:dyDescent="0.25">
      <c r="A231" s="10"/>
      <c r="D231" s="9">
        <f>Movimientos[[#This Row],[ENTRADA]]-Movimientos[[#This Row],[SALIDA]]</f>
        <v>0</v>
      </c>
    </row>
    <row r="232" spans="1:4" ht="15.75" customHeight="1" x14ac:dyDescent="0.25">
      <c r="A232" s="10"/>
      <c r="D232" s="9">
        <f>Movimientos[[#This Row],[ENTRADA]]-Movimientos[[#This Row],[SALIDA]]</f>
        <v>0</v>
      </c>
    </row>
    <row r="233" spans="1:4" ht="15.75" customHeight="1" x14ac:dyDescent="0.25">
      <c r="A233" s="10"/>
      <c r="D233" s="9">
        <f>Movimientos[[#This Row],[ENTRADA]]-Movimientos[[#This Row],[SALIDA]]</f>
        <v>0</v>
      </c>
    </row>
    <row r="234" spans="1:4" ht="15.75" customHeight="1" x14ac:dyDescent="0.25">
      <c r="A234" s="10"/>
      <c r="D234" s="9">
        <f>Movimientos[[#This Row],[ENTRADA]]-Movimientos[[#This Row],[SALIDA]]</f>
        <v>0</v>
      </c>
    </row>
    <row r="235" spans="1:4" ht="15.75" customHeight="1" x14ac:dyDescent="0.25">
      <c r="A235" s="10"/>
      <c r="D235" s="9">
        <f>Movimientos[[#This Row],[ENTRADA]]-Movimientos[[#This Row],[SALIDA]]</f>
        <v>0</v>
      </c>
    </row>
    <row r="236" spans="1:4" ht="15.75" customHeight="1" x14ac:dyDescent="0.25">
      <c r="A236" s="10"/>
      <c r="D236" s="9">
        <f>Movimientos[[#This Row],[ENTRADA]]-Movimientos[[#This Row],[SALIDA]]</f>
        <v>0</v>
      </c>
    </row>
    <row r="237" spans="1:4" ht="15.75" customHeight="1" x14ac:dyDescent="0.25">
      <c r="A237" s="10"/>
      <c r="D237" s="9">
        <f>Movimientos[[#This Row],[ENTRADA]]-Movimientos[[#This Row],[SALIDA]]</f>
        <v>0</v>
      </c>
    </row>
    <row r="238" spans="1:4" ht="15.75" customHeight="1" x14ac:dyDescent="0.25">
      <c r="A238" s="10"/>
      <c r="D238" s="9">
        <f>Movimientos[[#This Row],[ENTRADA]]-Movimientos[[#This Row],[SALIDA]]</f>
        <v>0</v>
      </c>
    </row>
    <row r="239" spans="1:4" ht="15.75" customHeight="1" x14ac:dyDescent="0.25">
      <c r="A239" s="10"/>
      <c r="D239" s="9">
        <f>Movimientos[[#This Row],[ENTRADA]]-Movimientos[[#This Row],[SALIDA]]</f>
        <v>0</v>
      </c>
    </row>
    <row r="240" spans="1:4" ht="15.75" customHeight="1" x14ac:dyDescent="0.25">
      <c r="A240" s="10"/>
      <c r="D240" s="9">
        <f>Movimientos[[#This Row],[ENTRADA]]-Movimientos[[#This Row],[SALIDA]]</f>
        <v>0</v>
      </c>
    </row>
    <row r="241" spans="1:4" ht="15.75" customHeight="1" x14ac:dyDescent="0.25">
      <c r="A241" s="10"/>
      <c r="D241" s="9">
        <f>Movimientos[[#This Row],[ENTRADA]]-Movimientos[[#This Row],[SALIDA]]</f>
        <v>0</v>
      </c>
    </row>
    <row r="242" spans="1:4" ht="15.75" customHeight="1" x14ac:dyDescent="0.25">
      <c r="A242" s="10"/>
      <c r="D242" s="9">
        <f>Movimientos[[#This Row],[ENTRADA]]-Movimientos[[#This Row],[SALIDA]]</f>
        <v>0</v>
      </c>
    </row>
    <row r="243" spans="1:4" ht="15.75" customHeight="1" x14ac:dyDescent="0.25">
      <c r="A243" s="10"/>
      <c r="D243" s="9">
        <f>Movimientos[[#This Row],[ENTRADA]]-Movimientos[[#This Row],[SALIDA]]</f>
        <v>0</v>
      </c>
    </row>
    <row r="244" spans="1:4" ht="15.75" customHeight="1" x14ac:dyDescent="0.25">
      <c r="A244" s="10"/>
      <c r="D244" s="9">
        <f>Movimientos[[#This Row],[ENTRADA]]-Movimientos[[#This Row],[SALIDA]]</f>
        <v>0</v>
      </c>
    </row>
    <row r="245" spans="1:4" ht="15.75" customHeight="1" x14ac:dyDescent="0.25">
      <c r="A245" s="10"/>
      <c r="D245" s="9">
        <f>Movimientos[[#This Row],[ENTRADA]]-Movimientos[[#This Row],[SALIDA]]</f>
        <v>0</v>
      </c>
    </row>
    <row r="246" spans="1:4" ht="15.75" customHeight="1" x14ac:dyDescent="0.25">
      <c r="A246" s="10"/>
      <c r="D246" s="9">
        <f>Movimientos[[#This Row],[ENTRADA]]-Movimientos[[#This Row],[SALIDA]]</f>
        <v>0</v>
      </c>
    </row>
    <row r="247" spans="1:4" ht="15.75" customHeight="1" x14ac:dyDescent="0.25">
      <c r="A247" s="10"/>
      <c r="D247" s="9">
        <f>Movimientos[[#This Row],[ENTRADA]]-Movimientos[[#This Row],[SALIDA]]</f>
        <v>0</v>
      </c>
    </row>
    <row r="248" spans="1:4" ht="15.75" customHeight="1" x14ac:dyDescent="0.25">
      <c r="A248" s="10"/>
      <c r="D248" s="9">
        <f>Movimientos[[#This Row],[ENTRADA]]-Movimientos[[#This Row],[SALIDA]]</f>
        <v>0</v>
      </c>
    </row>
    <row r="249" spans="1:4" ht="15.75" customHeight="1" x14ac:dyDescent="0.25">
      <c r="A249" s="10"/>
      <c r="D249" s="9">
        <f>Movimientos[[#This Row],[ENTRADA]]-Movimientos[[#This Row],[SALIDA]]</f>
        <v>0</v>
      </c>
    </row>
    <row r="250" spans="1:4" ht="15.75" customHeight="1" x14ac:dyDescent="0.25">
      <c r="A250" s="10"/>
      <c r="D250" s="9">
        <f>Movimientos[[#This Row],[ENTRADA]]-Movimientos[[#This Row],[SALIDA]]</f>
        <v>0</v>
      </c>
    </row>
    <row r="251" spans="1:4" ht="15.75" customHeight="1" x14ac:dyDescent="0.25">
      <c r="A251" s="10"/>
      <c r="D251" s="9">
        <f>Movimientos[[#This Row],[ENTRADA]]-Movimientos[[#This Row],[SALIDA]]</f>
        <v>0</v>
      </c>
    </row>
    <row r="252" spans="1:4" ht="15.75" customHeight="1" x14ac:dyDescent="0.25">
      <c r="A252" s="10"/>
      <c r="D252" s="9">
        <f>Movimientos[[#This Row],[ENTRADA]]-Movimientos[[#This Row],[SALIDA]]</f>
        <v>0</v>
      </c>
    </row>
    <row r="253" spans="1:4" ht="15.75" customHeight="1" x14ac:dyDescent="0.25">
      <c r="A253" s="10"/>
      <c r="D253" s="9">
        <f>Movimientos[[#This Row],[ENTRADA]]-Movimientos[[#This Row],[SALIDA]]</f>
        <v>0</v>
      </c>
    </row>
    <row r="254" spans="1:4" ht="15.75" customHeight="1" x14ac:dyDescent="0.25">
      <c r="A254" s="10"/>
      <c r="D254" s="9">
        <f>Movimientos[[#This Row],[ENTRADA]]-Movimientos[[#This Row],[SALIDA]]</f>
        <v>0</v>
      </c>
    </row>
    <row r="255" spans="1:4" ht="15.75" customHeight="1" x14ac:dyDescent="0.25">
      <c r="A255" s="10"/>
      <c r="D255" s="9">
        <f>Movimientos[[#This Row],[ENTRADA]]-Movimientos[[#This Row],[SALIDA]]</f>
        <v>0</v>
      </c>
    </row>
    <row r="256" spans="1:4" ht="15.75" customHeight="1" x14ac:dyDescent="0.25">
      <c r="A256" s="10"/>
      <c r="D256" s="9">
        <f>Movimientos[[#This Row],[ENTRADA]]-Movimientos[[#This Row],[SALIDA]]</f>
        <v>0</v>
      </c>
    </row>
    <row r="257" spans="1:4" ht="15.75" customHeight="1" x14ac:dyDescent="0.25">
      <c r="A257" s="10"/>
      <c r="D257" s="9">
        <f>Movimientos[[#This Row],[ENTRADA]]-Movimientos[[#This Row],[SALIDA]]</f>
        <v>0</v>
      </c>
    </row>
    <row r="258" spans="1:4" ht="15.75" customHeight="1" x14ac:dyDescent="0.25">
      <c r="A258" s="10"/>
      <c r="D258" s="9">
        <f>Movimientos[[#This Row],[ENTRADA]]-Movimientos[[#This Row],[SALIDA]]</f>
        <v>0</v>
      </c>
    </row>
    <row r="259" spans="1:4" ht="15.75" customHeight="1" x14ac:dyDescent="0.25">
      <c r="A259" s="10"/>
      <c r="D259" s="9">
        <f>Movimientos[[#This Row],[ENTRADA]]-Movimientos[[#This Row],[SALIDA]]</f>
        <v>0</v>
      </c>
    </row>
    <row r="260" spans="1:4" ht="15.75" customHeight="1" x14ac:dyDescent="0.25">
      <c r="A260" s="10"/>
      <c r="D260" s="9">
        <f>Movimientos[[#This Row],[ENTRADA]]-Movimientos[[#This Row],[SALIDA]]</f>
        <v>0</v>
      </c>
    </row>
    <row r="261" spans="1:4" ht="15.75" customHeight="1" x14ac:dyDescent="0.25">
      <c r="A261" s="10"/>
      <c r="D261" s="9">
        <f>Movimientos[[#This Row],[ENTRADA]]-Movimientos[[#This Row],[SALIDA]]</f>
        <v>0</v>
      </c>
    </row>
    <row r="262" spans="1:4" ht="15.75" customHeight="1" x14ac:dyDescent="0.25">
      <c r="A262" s="10"/>
      <c r="D262" s="9">
        <f>Movimientos[[#This Row],[ENTRADA]]-Movimientos[[#This Row],[SALIDA]]</f>
        <v>0</v>
      </c>
    </row>
    <row r="263" spans="1:4" ht="15.75" customHeight="1" x14ac:dyDescent="0.25">
      <c r="A263" s="10"/>
      <c r="D263" s="9">
        <f>Movimientos[[#This Row],[ENTRADA]]-Movimientos[[#This Row],[SALIDA]]</f>
        <v>0</v>
      </c>
    </row>
    <row r="264" spans="1:4" ht="15.75" customHeight="1" x14ac:dyDescent="0.25">
      <c r="A264" s="10"/>
      <c r="D264" s="9">
        <f>Movimientos[[#This Row],[ENTRADA]]-Movimientos[[#This Row],[SALIDA]]</f>
        <v>0</v>
      </c>
    </row>
    <row r="265" spans="1:4" ht="15.75" customHeight="1" x14ac:dyDescent="0.25">
      <c r="A265" s="10"/>
      <c r="D265" s="9">
        <f>Movimientos[[#This Row],[ENTRADA]]-Movimientos[[#This Row],[SALIDA]]</f>
        <v>0</v>
      </c>
    </row>
    <row r="266" spans="1:4" ht="15.75" customHeight="1" x14ac:dyDescent="0.25">
      <c r="A266" s="10"/>
      <c r="D266" s="9">
        <f>Movimientos[[#This Row],[ENTRADA]]-Movimientos[[#This Row],[SALIDA]]</f>
        <v>0</v>
      </c>
    </row>
    <row r="267" spans="1:4" ht="15.75" customHeight="1" x14ac:dyDescent="0.25">
      <c r="A267" s="10"/>
      <c r="D267" s="9">
        <f>Movimientos[[#This Row],[ENTRADA]]-Movimientos[[#This Row],[SALIDA]]</f>
        <v>0</v>
      </c>
    </row>
    <row r="268" spans="1:4" ht="15.75" customHeight="1" x14ac:dyDescent="0.25">
      <c r="A268" s="10"/>
      <c r="D268" s="9">
        <f>Movimientos[[#This Row],[ENTRADA]]-Movimientos[[#This Row],[SALIDA]]</f>
        <v>0</v>
      </c>
    </row>
    <row r="269" spans="1:4" ht="15.75" customHeight="1" x14ac:dyDescent="0.25">
      <c r="A269" s="10"/>
      <c r="D269" s="9">
        <f>Movimientos[[#This Row],[ENTRADA]]-Movimientos[[#This Row],[SALIDA]]</f>
        <v>0</v>
      </c>
    </row>
    <row r="270" spans="1:4" ht="15.75" customHeight="1" x14ac:dyDescent="0.25">
      <c r="A270" s="10"/>
      <c r="D270" s="9">
        <f>Movimientos[[#This Row],[ENTRADA]]-Movimientos[[#This Row],[SALIDA]]</f>
        <v>0</v>
      </c>
    </row>
    <row r="271" spans="1:4" ht="15.75" customHeight="1" x14ac:dyDescent="0.25">
      <c r="A271" s="10"/>
      <c r="D271" s="9">
        <f>Movimientos[[#This Row],[ENTRADA]]-Movimientos[[#This Row],[SALIDA]]</f>
        <v>0</v>
      </c>
    </row>
    <row r="272" spans="1:4" ht="15.75" customHeight="1" x14ac:dyDescent="0.25">
      <c r="A272" s="10"/>
      <c r="D272" s="9">
        <f>Movimientos[[#This Row],[ENTRADA]]-Movimientos[[#This Row],[SALIDA]]</f>
        <v>0</v>
      </c>
    </row>
    <row r="273" spans="1:4" ht="15.75" customHeight="1" x14ac:dyDescent="0.25">
      <c r="A273" s="10"/>
      <c r="D273" s="9">
        <f>Movimientos[[#This Row],[ENTRADA]]-Movimientos[[#This Row],[SALIDA]]</f>
        <v>0</v>
      </c>
    </row>
    <row r="274" spans="1:4" ht="15.75" customHeight="1" x14ac:dyDescent="0.25">
      <c r="A274" s="10"/>
      <c r="D274" s="9">
        <f>Movimientos[[#This Row],[ENTRADA]]-Movimientos[[#This Row],[SALIDA]]</f>
        <v>0</v>
      </c>
    </row>
    <row r="275" spans="1:4" ht="15.75" customHeight="1" x14ac:dyDescent="0.25">
      <c r="A275" s="10"/>
      <c r="D275" s="9">
        <f>Movimientos[[#This Row],[ENTRADA]]-Movimientos[[#This Row],[SALIDA]]</f>
        <v>0</v>
      </c>
    </row>
    <row r="276" spans="1:4" ht="15.75" customHeight="1" x14ac:dyDescent="0.25">
      <c r="A276" s="10"/>
      <c r="D276" s="9">
        <f>Movimientos[[#This Row],[ENTRADA]]-Movimientos[[#This Row],[SALIDA]]</f>
        <v>0</v>
      </c>
    </row>
    <row r="277" spans="1:4" ht="15.75" customHeight="1" x14ac:dyDescent="0.25">
      <c r="A277" s="10"/>
      <c r="D277" s="9">
        <f>Movimientos[[#This Row],[ENTRADA]]-Movimientos[[#This Row],[SALIDA]]</f>
        <v>0</v>
      </c>
    </row>
    <row r="278" spans="1:4" ht="15.75" customHeight="1" x14ac:dyDescent="0.25">
      <c r="A278" s="10"/>
      <c r="D278" s="9">
        <f>Movimientos[[#This Row],[ENTRADA]]-Movimientos[[#This Row],[SALIDA]]</f>
        <v>0</v>
      </c>
    </row>
    <row r="279" spans="1:4" ht="15.75" customHeight="1" x14ac:dyDescent="0.25">
      <c r="A279" s="10"/>
      <c r="D279" s="9">
        <f>Movimientos[[#This Row],[ENTRADA]]-Movimientos[[#This Row],[SALIDA]]</f>
        <v>0</v>
      </c>
    </row>
    <row r="280" spans="1:4" ht="15.75" customHeight="1" x14ac:dyDescent="0.25">
      <c r="A280" s="10"/>
      <c r="D280" s="9">
        <f>Movimientos[[#This Row],[ENTRADA]]-Movimientos[[#This Row],[SALIDA]]</f>
        <v>0</v>
      </c>
    </row>
    <row r="281" spans="1:4" ht="15.75" customHeight="1" x14ac:dyDescent="0.25">
      <c r="A281" s="10"/>
      <c r="D281" s="9">
        <f>Movimientos[[#This Row],[ENTRADA]]-Movimientos[[#This Row],[SALIDA]]</f>
        <v>0</v>
      </c>
    </row>
    <row r="282" spans="1:4" ht="15.75" customHeight="1" x14ac:dyDescent="0.25">
      <c r="A282" s="10"/>
      <c r="D282" s="9">
        <f>Movimientos[[#This Row],[ENTRADA]]-Movimientos[[#This Row],[SALIDA]]</f>
        <v>0</v>
      </c>
    </row>
    <row r="283" spans="1:4" ht="15.75" customHeight="1" x14ac:dyDescent="0.25">
      <c r="A283" s="10"/>
      <c r="D283" s="9">
        <f>Movimientos[[#This Row],[ENTRADA]]-Movimientos[[#This Row],[SALIDA]]</f>
        <v>0</v>
      </c>
    </row>
    <row r="284" spans="1:4" ht="15.75" customHeight="1" x14ac:dyDescent="0.25">
      <c r="A284" s="10"/>
      <c r="D284" s="9">
        <f>Movimientos[[#This Row],[ENTRADA]]-Movimientos[[#This Row],[SALIDA]]</f>
        <v>0</v>
      </c>
    </row>
    <row r="285" spans="1:4" ht="15.75" customHeight="1" x14ac:dyDescent="0.25">
      <c r="A285" s="10"/>
      <c r="D285" s="9">
        <f>Movimientos[[#This Row],[ENTRADA]]-Movimientos[[#This Row],[SALIDA]]</f>
        <v>0</v>
      </c>
    </row>
    <row r="286" spans="1:4" ht="15.75" customHeight="1" x14ac:dyDescent="0.25">
      <c r="A286" s="10"/>
      <c r="D286" s="9">
        <f>Movimientos[[#This Row],[ENTRADA]]-Movimientos[[#This Row],[SALIDA]]</f>
        <v>0</v>
      </c>
    </row>
    <row r="287" spans="1:4" ht="15.75" customHeight="1" x14ac:dyDescent="0.25">
      <c r="A287" s="10"/>
      <c r="D287" s="9">
        <f>Movimientos[[#This Row],[ENTRADA]]-Movimientos[[#This Row],[SALIDA]]</f>
        <v>0</v>
      </c>
    </row>
    <row r="288" spans="1:4" ht="15.75" customHeight="1" x14ac:dyDescent="0.25">
      <c r="A288" s="10"/>
      <c r="D288" s="9">
        <f>Movimientos[[#This Row],[ENTRADA]]-Movimientos[[#This Row],[SALIDA]]</f>
        <v>0</v>
      </c>
    </row>
    <row r="289" spans="1:4" ht="15.75" customHeight="1" x14ac:dyDescent="0.25">
      <c r="A289" s="10"/>
      <c r="D289" s="9">
        <f>Movimientos[[#This Row],[ENTRADA]]-Movimientos[[#This Row],[SALIDA]]</f>
        <v>0</v>
      </c>
    </row>
    <row r="290" spans="1:4" ht="15.75" customHeight="1" x14ac:dyDescent="0.25">
      <c r="A290" s="10"/>
      <c r="D290" s="9">
        <f>Movimientos[[#This Row],[ENTRADA]]-Movimientos[[#This Row],[SALIDA]]</f>
        <v>0</v>
      </c>
    </row>
    <row r="291" spans="1:4" ht="15.75" customHeight="1" x14ac:dyDescent="0.25">
      <c r="A291" s="10"/>
      <c r="D291" s="9">
        <f>Movimientos[[#This Row],[ENTRADA]]-Movimientos[[#This Row],[SALIDA]]</f>
        <v>0</v>
      </c>
    </row>
    <row r="292" spans="1:4" ht="15.75" customHeight="1" x14ac:dyDescent="0.25">
      <c r="A292" s="10"/>
      <c r="D292" s="9">
        <f>Movimientos[[#This Row],[ENTRADA]]-Movimientos[[#This Row],[SALIDA]]</f>
        <v>0</v>
      </c>
    </row>
    <row r="293" spans="1:4" ht="15.75" customHeight="1" x14ac:dyDescent="0.25">
      <c r="A293" s="10"/>
      <c r="D293" s="9">
        <f>Movimientos[[#This Row],[ENTRADA]]-Movimientos[[#This Row],[SALIDA]]</f>
        <v>0</v>
      </c>
    </row>
    <row r="294" spans="1:4" ht="15.75" customHeight="1" x14ac:dyDescent="0.25">
      <c r="A294" s="10"/>
      <c r="D294" s="9">
        <f>Movimientos[[#This Row],[ENTRADA]]-Movimientos[[#This Row],[SALIDA]]</f>
        <v>0</v>
      </c>
    </row>
    <row r="295" spans="1:4" ht="15.75" customHeight="1" x14ac:dyDescent="0.25">
      <c r="A295" s="10"/>
      <c r="D295" s="9">
        <f>Movimientos[[#This Row],[ENTRADA]]-Movimientos[[#This Row],[SALIDA]]</f>
        <v>0</v>
      </c>
    </row>
    <row r="296" spans="1:4" ht="15.75" customHeight="1" x14ac:dyDescent="0.25">
      <c r="A296" s="10"/>
      <c r="D296" s="9">
        <f>Movimientos[[#This Row],[ENTRADA]]-Movimientos[[#This Row],[SALIDA]]</f>
        <v>0</v>
      </c>
    </row>
    <row r="297" spans="1:4" ht="15.75" customHeight="1" x14ac:dyDescent="0.25">
      <c r="A297" s="10"/>
      <c r="D297" s="9">
        <f>Movimientos[[#This Row],[ENTRADA]]-Movimientos[[#This Row],[SALIDA]]</f>
        <v>0</v>
      </c>
    </row>
    <row r="298" spans="1:4" ht="15.75" customHeight="1" x14ac:dyDescent="0.25">
      <c r="A298" s="10"/>
      <c r="D298" s="9">
        <f>Movimientos[[#This Row],[ENTRADA]]-Movimientos[[#This Row],[SALIDA]]</f>
        <v>0</v>
      </c>
    </row>
    <row r="299" spans="1:4" ht="15.75" customHeight="1" x14ac:dyDescent="0.25">
      <c r="A299" s="10"/>
      <c r="D299" s="9">
        <f>Movimientos[[#This Row],[ENTRADA]]-Movimientos[[#This Row],[SALIDA]]</f>
        <v>0</v>
      </c>
    </row>
    <row r="300" spans="1:4" ht="15.75" customHeight="1" x14ac:dyDescent="0.25">
      <c r="A300" s="10"/>
      <c r="D300" s="9">
        <f>Movimientos[[#This Row],[ENTRADA]]-Movimientos[[#This Row],[SALIDA]]</f>
        <v>0</v>
      </c>
    </row>
    <row r="301" spans="1:4" ht="15.75" customHeight="1" x14ac:dyDescent="0.25">
      <c r="A301" s="10"/>
      <c r="D301" s="9">
        <f>Movimientos[[#This Row],[ENTRADA]]-Movimientos[[#This Row],[SALIDA]]</f>
        <v>0</v>
      </c>
    </row>
    <row r="302" spans="1:4" ht="15.75" customHeight="1" x14ac:dyDescent="0.25">
      <c r="A302" s="10"/>
      <c r="D302" s="9">
        <f>Movimientos[[#This Row],[ENTRADA]]-Movimientos[[#This Row],[SALIDA]]</f>
        <v>0</v>
      </c>
    </row>
    <row r="303" spans="1:4" ht="15.75" customHeight="1" x14ac:dyDescent="0.25">
      <c r="A303" s="10"/>
      <c r="D303" s="9">
        <f>Movimientos[[#This Row],[ENTRADA]]-Movimientos[[#This Row],[SALIDA]]</f>
        <v>0</v>
      </c>
    </row>
    <row r="304" spans="1:4" ht="15.75" customHeight="1" x14ac:dyDescent="0.25">
      <c r="A304" s="10"/>
      <c r="D304" s="9">
        <f>Movimientos[[#This Row],[ENTRADA]]-Movimientos[[#This Row],[SALIDA]]</f>
        <v>0</v>
      </c>
    </row>
    <row r="305" spans="1:4" ht="15.75" customHeight="1" x14ac:dyDescent="0.25">
      <c r="A305" s="10"/>
      <c r="D305" s="9">
        <f>Movimientos[[#This Row],[ENTRADA]]-Movimientos[[#This Row],[SALIDA]]</f>
        <v>0</v>
      </c>
    </row>
    <row r="306" spans="1:4" ht="15.75" customHeight="1" x14ac:dyDescent="0.25">
      <c r="A306" s="10"/>
      <c r="D306" s="9">
        <f>Movimientos[[#This Row],[ENTRADA]]-Movimientos[[#This Row],[SALIDA]]</f>
        <v>0</v>
      </c>
    </row>
    <row r="307" spans="1:4" ht="15.75" customHeight="1" x14ac:dyDescent="0.25">
      <c r="A307" s="10"/>
      <c r="D307" s="9">
        <f>Movimientos[[#This Row],[ENTRADA]]-Movimientos[[#This Row],[SALIDA]]</f>
        <v>0</v>
      </c>
    </row>
    <row r="308" spans="1:4" ht="15.75" customHeight="1" x14ac:dyDescent="0.25">
      <c r="A308" s="10"/>
      <c r="D308" s="9">
        <f>Movimientos[[#This Row],[ENTRADA]]-Movimientos[[#This Row],[SALIDA]]</f>
        <v>0</v>
      </c>
    </row>
    <row r="309" spans="1:4" ht="15.75" customHeight="1" x14ac:dyDescent="0.25">
      <c r="A309" s="10"/>
      <c r="D309" s="9">
        <f>Movimientos[[#This Row],[ENTRADA]]-Movimientos[[#This Row],[SALIDA]]</f>
        <v>0</v>
      </c>
    </row>
    <row r="310" spans="1:4" ht="15.75" customHeight="1" x14ac:dyDescent="0.25">
      <c r="A310" s="10"/>
      <c r="D310" s="9">
        <f>Movimientos[[#This Row],[ENTRADA]]-Movimientos[[#This Row],[SALIDA]]</f>
        <v>0</v>
      </c>
    </row>
    <row r="311" spans="1:4" ht="15.75" customHeight="1" x14ac:dyDescent="0.25">
      <c r="A311" s="10"/>
      <c r="D311" s="9">
        <f>Movimientos[[#This Row],[ENTRADA]]-Movimientos[[#This Row],[SALIDA]]</f>
        <v>0</v>
      </c>
    </row>
    <row r="312" spans="1:4" ht="15.75" customHeight="1" x14ac:dyDescent="0.25">
      <c r="A312" s="10"/>
      <c r="D312" s="9">
        <f>Movimientos[[#This Row],[ENTRADA]]-Movimientos[[#This Row],[SALIDA]]</f>
        <v>0</v>
      </c>
    </row>
    <row r="313" spans="1:4" ht="15.75" customHeight="1" x14ac:dyDescent="0.25">
      <c r="A313" s="10"/>
      <c r="D313" s="9">
        <f>Movimientos[[#This Row],[ENTRADA]]-Movimientos[[#This Row],[SALIDA]]</f>
        <v>0</v>
      </c>
    </row>
    <row r="314" spans="1:4" ht="15.75" customHeight="1" x14ac:dyDescent="0.25">
      <c r="A314" s="10"/>
      <c r="D314" s="9">
        <f>Movimientos[[#This Row],[ENTRADA]]-Movimientos[[#This Row],[SALIDA]]</f>
        <v>0</v>
      </c>
    </row>
    <row r="315" spans="1:4" ht="15.75" customHeight="1" x14ac:dyDescent="0.25">
      <c r="A315" s="10"/>
      <c r="D315" s="9">
        <f>Movimientos[[#This Row],[ENTRADA]]-Movimientos[[#This Row],[SALIDA]]</f>
        <v>0</v>
      </c>
    </row>
    <row r="316" spans="1:4" ht="15.75" customHeight="1" x14ac:dyDescent="0.25">
      <c r="A316" s="10"/>
      <c r="B316"/>
      <c r="D316" s="9">
        <f>Movimientos[[#This Row],[ENTRADA]]-Movimientos[[#This Row],[SALIDA]]</f>
        <v>0</v>
      </c>
    </row>
    <row r="317" spans="1:4" ht="15.75" customHeight="1" x14ac:dyDescent="0.25">
      <c r="A317" s="10"/>
      <c r="B317"/>
      <c r="D317" s="9">
        <f>Movimientos[[#This Row],[ENTRADA]]-Movimientos[[#This Row],[SALIDA]]</f>
        <v>0</v>
      </c>
    </row>
    <row r="318" spans="1:4" ht="15.75" customHeight="1" x14ac:dyDescent="0.25">
      <c r="A318" s="10"/>
      <c r="D318" s="9">
        <f>Movimientos[[#This Row],[ENTRADA]]-Movimientos[[#This Row],[SALIDA]]</f>
        <v>0</v>
      </c>
    </row>
    <row r="319" spans="1:4" ht="15.75" customHeight="1" x14ac:dyDescent="0.25">
      <c r="A319" s="10"/>
      <c r="D319" s="9">
        <f>Movimientos[[#This Row],[ENTRADA]]-Movimientos[[#This Row],[SALIDA]]</f>
        <v>0</v>
      </c>
    </row>
    <row r="320" spans="1:4" ht="15.75" customHeight="1" x14ac:dyDescent="0.25">
      <c r="A320" s="10"/>
      <c r="D320" s="9">
        <f>Movimientos[[#This Row],[ENTRADA]]-Movimientos[[#This Row],[SALIDA]]</f>
        <v>0</v>
      </c>
    </row>
    <row r="321" spans="1:4" ht="15.75" customHeight="1" x14ac:dyDescent="0.25">
      <c r="A321" s="10"/>
      <c r="D321" s="9">
        <f>Movimientos[[#This Row],[ENTRADA]]-Movimientos[[#This Row],[SALIDA]]</f>
        <v>0</v>
      </c>
    </row>
    <row r="322" spans="1:4" ht="15.75" customHeight="1" x14ac:dyDescent="0.25">
      <c r="A322" s="10"/>
      <c r="D322" s="9">
        <f>Movimientos[[#This Row],[ENTRADA]]-Movimientos[[#This Row],[SALIDA]]</f>
        <v>0</v>
      </c>
    </row>
    <row r="323" spans="1:4" ht="15.75" customHeight="1" x14ac:dyDescent="0.25">
      <c r="A323" s="10"/>
      <c r="D323" s="9">
        <f>Movimientos[[#This Row],[ENTRADA]]-Movimientos[[#This Row],[SALIDA]]</f>
        <v>0</v>
      </c>
    </row>
    <row r="324" spans="1:4" ht="15.75" customHeight="1" x14ac:dyDescent="0.25">
      <c r="A324" s="10"/>
      <c r="D324" s="9">
        <f>Movimientos[[#This Row],[ENTRADA]]-Movimientos[[#This Row],[SALIDA]]</f>
        <v>0</v>
      </c>
    </row>
    <row r="325" spans="1:4" ht="15.75" customHeight="1" x14ac:dyDescent="0.25">
      <c r="A325" s="10"/>
      <c r="D325" s="9">
        <f>Movimientos[[#This Row],[ENTRADA]]-Movimientos[[#This Row],[SALIDA]]</f>
        <v>0</v>
      </c>
    </row>
    <row r="326" spans="1:4" ht="15.75" customHeight="1" x14ac:dyDescent="0.25">
      <c r="A326" s="10"/>
      <c r="D326" s="9">
        <f>Movimientos[[#This Row],[ENTRADA]]-Movimientos[[#This Row],[SALIDA]]</f>
        <v>0</v>
      </c>
    </row>
    <row r="327" spans="1:4" ht="15.75" customHeight="1" x14ac:dyDescent="0.25">
      <c r="A327" s="10"/>
      <c r="D327" s="9">
        <f>Movimientos[[#This Row],[ENTRADA]]-Movimientos[[#This Row],[SALIDA]]</f>
        <v>0</v>
      </c>
    </row>
    <row r="328" spans="1:4" ht="15.75" customHeight="1" x14ac:dyDescent="0.25">
      <c r="A328" s="10"/>
      <c r="D328" s="9">
        <f>Movimientos[[#This Row],[ENTRADA]]-Movimientos[[#This Row],[SALIDA]]</f>
        <v>0</v>
      </c>
    </row>
    <row r="329" spans="1:4" ht="15.75" customHeight="1" x14ac:dyDescent="0.25">
      <c r="A329" s="10"/>
      <c r="D329" s="9">
        <f>Movimientos[[#This Row],[ENTRADA]]-Movimientos[[#This Row],[SALIDA]]</f>
        <v>0</v>
      </c>
    </row>
    <row r="330" spans="1:4" ht="15.75" customHeight="1" x14ac:dyDescent="0.25">
      <c r="A330" s="10"/>
      <c r="D330" s="9">
        <f>Movimientos[[#This Row],[ENTRADA]]-Movimientos[[#This Row],[SALIDA]]</f>
        <v>0</v>
      </c>
    </row>
    <row r="331" spans="1:4" ht="15.75" customHeight="1" x14ac:dyDescent="0.25">
      <c r="A331" s="10"/>
      <c r="D331" s="9">
        <f>Movimientos[[#This Row],[ENTRADA]]-Movimientos[[#This Row],[SALIDA]]</f>
        <v>0</v>
      </c>
    </row>
    <row r="332" spans="1:4" ht="15.75" customHeight="1" x14ac:dyDescent="0.25">
      <c r="A332" s="10"/>
      <c r="B332"/>
      <c r="D332" s="9">
        <f>Movimientos[[#This Row],[ENTRADA]]-Movimientos[[#This Row],[SALIDA]]</f>
        <v>0</v>
      </c>
    </row>
    <row r="333" spans="1:4" ht="15.75" customHeight="1" x14ac:dyDescent="0.25">
      <c r="A333" s="10"/>
      <c r="B333"/>
      <c r="D333" s="9">
        <f>Movimientos[[#This Row],[ENTRADA]]-Movimientos[[#This Row],[SALIDA]]</f>
        <v>0</v>
      </c>
    </row>
    <row r="334" spans="1:4" ht="15.75" customHeight="1" x14ac:dyDescent="0.25">
      <c r="A334" s="10"/>
      <c r="D334" s="9">
        <f>Movimientos[[#This Row],[ENTRADA]]-Movimientos[[#This Row],[SALIDA]]</f>
        <v>0</v>
      </c>
    </row>
    <row r="335" spans="1:4" ht="15.75" customHeight="1" x14ac:dyDescent="0.25">
      <c r="A335" s="10"/>
      <c r="D335" s="9">
        <f>Movimientos[[#This Row],[ENTRADA]]-Movimientos[[#This Row],[SALIDA]]</f>
        <v>0</v>
      </c>
    </row>
    <row r="336" spans="1:4" ht="15.75" customHeight="1" x14ac:dyDescent="0.25">
      <c r="A336" s="10"/>
      <c r="D336" s="9">
        <f>Movimientos[[#This Row],[ENTRADA]]-Movimientos[[#This Row],[SALIDA]]</f>
        <v>0</v>
      </c>
    </row>
    <row r="337" spans="1:4" ht="15.75" customHeight="1" x14ac:dyDescent="0.25">
      <c r="A337" s="10"/>
      <c r="D337" s="9">
        <f>Movimientos[[#This Row],[ENTRADA]]-Movimientos[[#This Row],[SALIDA]]</f>
        <v>0</v>
      </c>
    </row>
    <row r="338" spans="1:4" ht="15.75" customHeight="1" x14ac:dyDescent="0.25">
      <c r="A338" s="10"/>
      <c r="D338" s="9">
        <f>Movimientos[[#This Row],[ENTRADA]]-Movimientos[[#This Row],[SALIDA]]</f>
        <v>0</v>
      </c>
    </row>
    <row r="339" spans="1:4" ht="15.75" customHeight="1" x14ac:dyDescent="0.25">
      <c r="A339" s="10"/>
      <c r="D339" s="9">
        <f>Movimientos[[#This Row],[ENTRADA]]-Movimientos[[#This Row],[SALIDA]]</f>
        <v>0</v>
      </c>
    </row>
    <row r="340" spans="1:4" ht="15.75" customHeight="1" x14ac:dyDescent="0.25">
      <c r="A340" s="10"/>
      <c r="D340" s="9">
        <f>Movimientos[[#This Row],[ENTRADA]]-Movimientos[[#This Row],[SALIDA]]</f>
        <v>0</v>
      </c>
    </row>
    <row r="341" spans="1:4" ht="15.75" customHeight="1" x14ac:dyDescent="0.25">
      <c r="A341" s="10"/>
      <c r="D341" s="9">
        <f>Movimientos[[#This Row],[ENTRADA]]-Movimientos[[#This Row],[SALIDA]]</f>
        <v>0</v>
      </c>
    </row>
    <row r="342" spans="1:4" ht="15.75" customHeight="1" x14ac:dyDescent="0.25">
      <c r="A342" s="10"/>
      <c r="D342" s="9">
        <f>Movimientos[[#This Row],[ENTRADA]]-Movimientos[[#This Row],[SALIDA]]</f>
        <v>0</v>
      </c>
    </row>
    <row r="343" spans="1:4" ht="15.75" customHeight="1" x14ac:dyDescent="0.25">
      <c r="A343" s="10"/>
      <c r="D343" s="9">
        <f>Movimientos[[#This Row],[ENTRADA]]-Movimientos[[#This Row],[SALIDA]]</f>
        <v>0</v>
      </c>
    </row>
    <row r="344" spans="1:4" ht="15.75" customHeight="1" x14ac:dyDescent="0.25">
      <c r="A344" s="10"/>
      <c r="D344" s="9">
        <f>Movimientos[[#This Row],[ENTRADA]]-Movimientos[[#This Row],[SALIDA]]</f>
        <v>0</v>
      </c>
    </row>
    <row r="345" spans="1:4" ht="15.75" customHeight="1" x14ac:dyDescent="0.25">
      <c r="A345" s="10"/>
      <c r="D345" s="9">
        <f>Movimientos[[#This Row],[ENTRADA]]-Movimientos[[#This Row],[SALIDA]]</f>
        <v>0</v>
      </c>
    </row>
    <row r="346" spans="1:4" ht="15.75" customHeight="1" x14ac:dyDescent="0.25">
      <c r="A346" s="10"/>
      <c r="D346" s="9">
        <f>Movimientos[[#This Row],[ENTRADA]]-Movimientos[[#This Row],[SALIDA]]</f>
        <v>0</v>
      </c>
    </row>
    <row r="347" spans="1:4" ht="15.75" customHeight="1" x14ac:dyDescent="0.25">
      <c r="A347" s="10"/>
      <c r="D347" s="9">
        <f>Movimientos[[#This Row],[ENTRADA]]-Movimientos[[#This Row],[SALIDA]]</f>
        <v>0</v>
      </c>
    </row>
    <row r="348" spans="1:4" ht="15.75" customHeight="1" x14ac:dyDescent="0.25">
      <c r="A348" s="10"/>
      <c r="D348" s="9">
        <f>Movimientos[[#This Row],[ENTRADA]]-Movimientos[[#This Row],[SALIDA]]</f>
        <v>0</v>
      </c>
    </row>
    <row r="349" spans="1:4" ht="15.75" customHeight="1" x14ac:dyDescent="0.25">
      <c r="A349" s="10"/>
      <c r="D349" s="9">
        <f>Movimientos[[#This Row],[ENTRADA]]-Movimientos[[#This Row],[SALIDA]]</f>
        <v>0</v>
      </c>
    </row>
    <row r="350" spans="1:4" ht="15.75" customHeight="1" x14ac:dyDescent="0.25">
      <c r="A350" s="10"/>
      <c r="D350" s="9">
        <f>Movimientos[[#This Row],[ENTRADA]]-Movimientos[[#This Row],[SALIDA]]</f>
        <v>0</v>
      </c>
    </row>
    <row r="351" spans="1:4" ht="15.75" customHeight="1" x14ac:dyDescent="0.25">
      <c r="A351" s="10"/>
      <c r="D351" s="9">
        <f>Movimientos[[#This Row],[ENTRADA]]-Movimientos[[#This Row],[SALIDA]]</f>
        <v>0</v>
      </c>
    </row>
    <row r="352" spans="1:4" ht="15.75" customHeight="1" x14ac:dyDescent="0.25">
      <c r="A352" s="10"/>
      <c r="D352" s="9">
        <f>Movimientos[[#This Row],[ENTRADA]]-Movimientos[[#This Row],[SALIDA]]</f>
        <v>0</v>
      </c>
    </row>
    <row r="353" spans="1:4" ht="15.75" customHeight="1" x14ac:dyDescent="0.25">
      <c r="A353" s="10"/>
      <c r="D353" s="9">
        <f>Movimientos[[#This Row],[ENTRADA]]-Movimientos[[#This Row],[SALIDA]]</f>
        <v>0</v>
      </c>
    </row>
    <row r="354" spans="1:4" ht="15.75" customHeight="1" x14ac:dyDescent="0.25">
      <c r="A354" s="10"/>
      <c r="D354" s="9">
        <f>Movimientos[[#This Row],[ENTRADA]]-Movimientos[[#This Row],[SALIDA]]</f>
        <v>0</v>
      </c>
    </row>
    <row r="355" spans="1:4" ht="15.75" customHeight="1" x14ac:dyDescent="0.25">
      <c r="A355" s="10"/>
      <c r="D355" s="9">
        <f>Movimientos[[#This Row],[ENTRADA]]-Movimientos[[#This Row],[SALIDA]]</f>
        <v>0</v>
      </c>
    </row>
    <row r="356" spans="1:4" ht="15.75" customHeight="1" x14ac:dyDescent="0.25">
      <c r="A356" s="10"/>
      <c r="D356" s="9">
        <f>Movimientos[[#This Row],[ENTRADA]]-Movimientos[[#This Row],[SALIDA]]</f>
        <v>0</v>
      </c>
    </row>
    <row r="357" spans="1:4" ht="15.75" customHeight="1" x14ac:dyDescent="0.25">
      <c r="A357" s="10"/>
      <c r="D357" s="9">
        <f>Movimientos[[#This Row],[ENTRADA]]-Movimientos[[#This Row],[SALIDA]]</f>
        <v>0</v>
      </c>
    </row>
    <row r="358" spans="1:4" ht="15.75" customHeight="1" x14ac:dyDescent="0.25">
      <c r="A358" s="10"/>
      <c r="D358" s="9">
        <f>Movimientos[[#This Row],[ENTRADA]]-Movimientos[[#This Row],[SALIDA]]</f>
        <v>0</v>
      </c>
    </row>
    <row r="359" spans="1:4" ht="15.75" customHeight="1" x14ac:dyDescent="0.25">
      <c r="A359" s="10"/>
      <c r="D359" s="9">
        <f>Movimientos[[#This Row],[ENTRADA]]-Movimientos[[#This Row],[SALIDA]]</f>
        <v>0</v>
      </c>
    </row>
    <row r="360" spans="1:4" ht="15.75" customHeight="1" x14ac:dyDescent="0.25">
      <c r="A360" s="10"/>
      <c r="D360" s="9">
        <f>Movimientos[[#This Row],[ENTRADA]]-Movimientos[[#This Row],[SALIDA]]</f>
        <v>0</v>
      </c>
    </row>
    <row r="361" spans="1:4" ht="15.75" customHeight="1" x14ac:dyDescent="0.25">
      <c r="A361" s="10"/>
      <c r="D361" s="9">
        <f>Movimientos[[#This Row],[ENTRADA]]-Movimientos[[#This Row],[SALIDA]]</f>
        <v>0</v>
      </c>
    </row>
    <row r="362" spans="1:4" ht="15.75" customHeight="1" x14ac:dyDescent="0.25">
      <c r="A362" s="10"/>
      <c r="D362" s="9">
        <f>Movimientos[[#This Row],[ENTRADA]]-Movimientos[[#This Row],[SALIDA]]</f>
        <v>0</v>
      </c>
    </row>
    <row r="363" spans="1:4" ht="15.75" customHeight="1" x14ac:dyDescent="0.25">
      <c r="A363" s="10"/>
      <c r="D363" s="9">
        <f>Movimientos[[#This Row],[ENTRADA]]-Movimientos[[#This Row],[SALIDA]]</f>
        <v>0</v>
      </c>
    </row>
    <row r="364" spans="1:4" ht="15.75" customHeight="1" x14ac:dyDescent="0.25">
      <c r="A364" s="10"/>
      <c r="D364" s="9">
        <f>Movimientos[[#This Row],[ENTRADA]]-Movimientos[[#This Row],[SALIDA]]</f>
        <v>0</v>
      </c>
    </row>
    <row r="365" spans="1:4" ht="15.75" customHeight="1" x14ac:dyDescent="0.25">
      <c r="A365" s="10"/>
      <c r="D365" s="9">
        <f>Movimientos[[#This Row],[ENTRADA]]-Movimientos[[#This Row],[SALIDA]]</f>
        <v>0</v>
      </c>
    </row>
    <row r="366" spans="1:4" ht="15.75" customHeight="1" x14ac:dyDescent="0.25">
      <c r="A366" s="10"/>
      <c r="D366" s="9">
        <f>Movimientos[[#This Row],[ENTRADA]]-Movimientos[[#This Row],[SALIDA]]</f>
        <v>0</v>
      </c>
    </row>
    <row r="367" spans="1:4" ht="15.75" customHeight="1" x14ac:dyDescent="0.25">
      <c r="A367" s="10"/>
      <c r="D367" s="9">
        <f>Movimientos[[#This Row],[ENTRADA]]-Movimientos[[#This Row],[SALIDA]]</f>
        <v>0</v>
      </c>
    </row>
    <row r="368" spans="1:4" ht="15.75" customHeight="1" x14ac:dyDescent="0.25">
      <c r="A368" s="10"/>
      <c r="D368" s="9">
        <f>Movimientos[[#This Row],[ENTRADA]]-Movimientos[[#This Row],[SALIDA]]</f>
        <v>0</v>
      </c>
    </row>
    <row r="369" spans="1:4" ht="15.75" customHeight="1" x14ac:dyDescent="0.25">
      <c r="A369" s="10"/>
      <c r="D369" s="9">
        <f>Movimientos[[#This Row],[ENTRADA]]-Movimientos[[#This Row],[SALIDA]]</f>
        <v>0</v>
      </c>
    </row>
    <row r="370" spans="1:4" ht="15.75" customHeight="1" x14ac:dyDescent="0.25">
      <c r="A370" s="10"/>
      <c r="D370" s="9">
        <f>Movimientos[[#This Row],[ENTRADA]]-Movimientos[[#This Row],[SALIDA]]</f>
        <v>0</v>
      </c>
    </row>
    <row r="371" spans="1:4" ht="15.75" customHeight="1" x14ac:dyDescent="0.25">
      <c r="A371" s="10"/>
      <c r="D371" s="9">
        <f>Movimientos[[#This Row],[ENTRADA]]-Movimientos[[#This Row],[SALIDA]]</f>
        <v>0</v>
      </c>
    </row>
    <row r="372" spans="1:4" ht="15.75" customHeight="1" x14ac:dyDescent="0.25">
      <c r="A372" s="10"/>
      <c r="D372" s="9">
        <f>Movimientos[[#This Row],[ENTRADA]]-Movimientos[[#This Row],[SALIDA]]</f>
        <v>0</v>
      </c>
    </row>
    <row r="373" spans="1:4" ht="15.75" customHeight="1" x14ac:dyDescent="0.25">
      <c r="A373" s="10"/>
      <c r="D373" s="9">
        <f>Movimientos[[#This Row],[ENTRADA]]-Movimientos[[#This Row],[SALIDA]]</f>
        <v>0</v>
      </c>
    </row>
    <row r="374" spans="1:4" ht="15.75" customHeight="1" x14ac:dyDescent="0.25">
      <c r="A374" s="10"/>
      <c r="D374" s="9">
        <f>Movimientos[[#This Row],[ENTRADA]]-Movimientos[[#This Row],[SALIDA]]</f>
        <v>0</v>
      </c>
    </row>
    <row r="375" spans="1:4" ht="15.75" customHeight="1" x14ac:dyDescent="0.25">
      <c r="A375" s="10"/>
      <c r="D375" s="9">
        <f>Movimientos[[#This Row],[ENTRADA]]-Movimientos[[#This Row],[SALIDA]]</f>
        <v>0</v>
      </c>
    </row>
    <row r="376" spans="1:4" ht="15.75" customHeight="1" x14ac:dyDescent="0.25">
      <c r="A376" s="10"/>
      <c r="D376" s="9">
        <f>Movimientos[[#This Row],[ENTRADA]]-Movimientos[[#This Row],[SALIDA]]</f>
        <v>0</v>
      </c>
    </row>
    <row r="377" spans="1:4" ht="15.75" customHeight="1" x14ac:dyDescent="0.25">
      <c r="A377" s="10"/>
      <c r="D377" s="9">
        <f>Movimientos[[#This Row],[ENTRADA]]-Movimientos[[#This Row],[SALIDA]]</f>
        <v>0</v>
      </c>
    </row>
    <row r="378" spans="1:4" ht="15.75" customHeight="1" x14ac:dyDescent="0.25">
      <c r="A378" s="10"/>
      <c r="D378" s="9">
        <f>Movimientos[[#This Row],[ENTRADA]]-Movimientos[[#This Row],[SALIDA]]</f>
        <v>0</v>
      </c>
    </row>
    <row r="379" spans="1:4" ht="15.75" customHeight="1" x14ac:dyDescent="0.25">
      <c r="A379" s="10"/>
      <c r="D379" s="9">
        <f>Movimientos[[#This Row],[ENTRADA]]-Movimientos[[#This Row],[SALIDA]]</f>
        <v>0</v>
      </c>
    </row>
    <row r="380" spans="1:4" ht="15.75" customHeight="1" x14ac:dyDescent="0.25">
      <c r="A380" s="10"/>
      <c r="D380" s="9">
        <f>Movimientos[[#This Row],[ENTRADA]]-Movimientos[[#This Row],[SALIDA]]</f>
        <v>0</v>
      </c>
    </row>
    <row r="381" spans="1:4" ht="15.75" customHeight="1" x14ac:dyDescent="0.25">
      <c r="A381" s="10"/>
      <c r="D381" s="9">
        <f>Movimientos[[#This Row],[ENTRADA]]-Movimientos[[#This Row],[SALIDA]]</f>
        <v>0</v>
      </c>
    </row>
    <row r="382" spans="1:4" ht="15.75" customHeight="1" x14ac:dyDescent="0.25">
      <c r="A382" s="10"/>
      <c r="D382" s="9">
        <f>Movimientos[[#This Row],[ENTRADA]]-Movimientos[[#This Row],[SALIDA]]</f>
        <v>0</v>
      </c>
    </row>
    <row r="383" spans="1:4" ht="15.75" customHeight="1" x14ac:dyDescent="0.25">
      <c r="A383" s="10"/>
      <c r="D383" s="9">
        <f>Movimientos[[#This Row],[ENTRADA]]-Movimientos[[#This Row],[SALIDA]]</f>
        <v>0</v>
      </c>
    </row>
    <row r="384" spans="1:4" ht="15.75" customHeight="1" x14ac:dyDescent="0.25">
      <c r="A384" s="10"/>
      <c r="D384" s="9">
        <f>Movimientos[[#This Row],[ENTRADA]]-Movimientos[[#This Row],[SALIDA]]</f>
        <v>0</v>
      </c>
    </row>
    <row r="385" spans="1:9" ht="15.75" customHeight="1" x14ac:dyDescent="0.25">
      <c r="A385" s="10"/>
      <c r="D385" s="9">
        <f>Movimientos[[#This Row],[ENTRADA]]-Movimientos[[#This Row],[SALIDA]]</f>
        <v>0</v>
      </c>
    </row>
    <row r="386" spans="1:9" ht="15.75" customHeight="1" x14ac:dyDescent="0.25">
      <c r="A386" s="10"/>
      <c r="D386" s="9">
        <f>Movimientos[[#This Row],[ENTRADA]]-Movimientos[[#This Row],[SALIDA]]</f>
        <v>0</v>
      </c>
    </row>
    <row r="387" spans="1:9" ht="15.75" customHeight="1" x14ac:dyDescent="0.25">
      <c r="A387" s="10"/>
      <c r="D387" s="9">
        <f>Movimientos[[#This Row],[ENTRADA]]-Movimientos[[#This Row],[SALIDA]]</f>
        <v>0</v>
      </c>
      <c r="H387" s="35"/>
      <c r="I387" s="35"/>
    </row>
    <row r="388" spans="1:9" ht="15.75" customHeight="1" x14ac:dyDescent="0.25">
      <c r="A388" s="10"/>
      <c r="D388" s="9">
        <f>Movimientos[[#This Row],[ENTRADA]]-Movimientos[[#This Row],[SALIDA]]</f>
        <v>0</v>
      </c>
    </row>
    <row r="389" spans="1:9" ht="15.75" customHeight="1" x14ac:dyDescent="0.25">
      <c r="A389" s="10"/>
      <c r="D389" s="9">
        <f>Movimientos[[#This Row],[ENTRADA]]-Movimientos[[#This Row],[SALIDA]]</f>
        <v>0</v>
      </c>
    </row>
    <row r="390" spans="1:9" ht="15.75" customHeight="1" x14ac:dyDescent="0.25">
      <c r="A390" s="10"/>
      <c r="D390" s="9">
        <f>Movimientos[[#This Row],[ENTRADA]]-Movimientos[[#This Row],[SALIDA]]</f>
        <v>0</v>
      </c>
    </row>
    <row r="391" spans="1:9" ht="15.75" customHeight="1" x14ac:dyDescent="0.25">
      <c r="A391" s="10"/>
      <c r="D391" s="9">
        <f>Movimientos[[#This Row],[ENTRADA]]-Movimientos[[#This Row],[SALIDA]]</f>
        <v>0</v>
      </c>
    </row>
    <row r="392" spans="1:9" ht="15.75" customHeight="1" x14ac:dyDescent="0.25">
      <c r="A392" s="10"/>
      <c r="D392" s="9">
        <f>Movimientos[[#This Row],[ENTRADA]]-Movimientos[[#This Row],[SALIDA]]</f>
        <v>0</v>
      </c>
    </row>
    <row r="393" spans="1:9" ht="15.75" customHeight="1" x14ac:dyDescent="0.25">
      <c r="A393" s="10"/>
      <c r="D393" s="9">
        <f>Movimientos[[#This Row],[ENTRADA]]-Movimientos[[#This Row],[SALIDA]]</f>
        <v>0</v>
      </c>
    </row>
    <row r="394" spans="1:9" ht="15.75" customHeight="1" x14ac:dyDescent="0.25">
      <c r="A394" s="10"/>
      <c r="D394" s="9">
        <f>Movimientos[[#This Row],[ENTRADA]]-Movimientos[[#This Row],[SALIDA]]</f>
        <v>0</v>
      </c>
    </row>
    <row r="395" spans="1:9" ht="15.75" customHeight="1" x14ac:dyDescent="0.25">
      <c r="A395" s="10"/>
      <c r="D395" s="9">
        <f>Movimientos[[#This Row],[ENTRADA]]-Movimientos[[#This Row],[SALIDA]]</f>
        <v>0</v>
      </c>
    </row>
    <row r="396" spans="1:9" ht="15.75" customHeight="1" x14ac:dyDescent="0.25">
      <c r="A396" s="10"/>
      <c r="D396" s="9">
        <f>Movimientos[[#This Row],[ENTRADA]]-Movimientos[[#This Row],[SALIDA]]</f>
        <v>0</v>
      </c>
    </row>
    <row r="397" spans="1:9" ht="15.75" customHeight="1" x14ac:dyDescent="0.25">
      <c r="A397" s="10"/>
      <c r="D397" s="9">
        <f>Movimientos[[#This Row],[ENTRADA]]-Movimientos[[#This Row],[SALIDA]]</f>
        <v>0</v>
      </c>
    </row>
    <row r="398" spans="1:9" ht="15.75" customHeight="1" x14ac:dyDescent="0.25">
      <c r="A398" s="10"/>
      <c r="D398" s="9">
        <f>Movimientos[[#This Row],[ENTRADA]]-Movimientos[[#This Row],[SALIDA]]</f>
        <v>0</v>
      </c>
    </row>
    <row r="399" spans="1:9" ht="15.75" customHeight="1" x14ac:dyDescent="0.25">
      <c r="A399" s="10"/>
      <c r="D399" s="9">
        <f>Movimientos[[#This Row],[ENTRADA]]-Movimientos[[#This Row],[SALIDA]]</f>
        <v>0</v>
      </c>
    </row>
    <row r="400" spans="1:9" ht="15.75" customHeight="1" x14ac:dyDescent="0.25">
      <c r="A400" s="10"/>
      <c r="D400" s="9">
        <f>Movimientos[[#This Row],[ENTRADA]]-Movimientos[[#This Row],[SALIDA]]</f>
        <v>0</v>
      </c>
    </row>
    <row r="401" spans="1:9" ht="15.75" customHeight="1" x14ac:dyDescent="0.25">
      <c r="A401" s="10"/>
      <c r="D401" s="9">
        <f>Movimientos[[#This Row],[ENTRADA]]-Movimientos[[#This Row],[SALIDA]]</f>
        <v>0</v>
      </c>
    </row>
    <row r="402" spans="1:9" ht="15.75" customHeight="1" x14ac:dyDescent="0.25">
      <c r="A402" s="10"/>
      <c r="D402" s="9">
        <f>Movimientos[[#This Row],[ENTRADA]]-Movimientos[[#This Row],[SALIDA]]</f>
        <v>0</v>
      </c>
    </row>
    <row r="403" spans="1:9" ht="15.75" customHeight="1" x14ac:dyDescent="0.25">
      <c r="A403" s="10"/>
      <c r="D403" s="9">
        <f>Movimientos[[#This Row],[ENTRADA]]-Movimientos[[#This Row],[SALIDA]]</f>
        <v>0</v>
      </c>
    </row>
    <row r="404" spans="1:9" ht="15.75" customHeight="1" x14ac:dyDescent="0.25">
      <c r="A404" s="10"/>
      <c r="D404" s="9">
        <f>Movimientos[[#This Row],[ENTRADA]]-Movimientos[[#This Row],[SALIDA]]</f>
        <v>0</v>
      </c>
    </row>
    <row r="405" spans="1:9" ht="15.75" customHeight="1" x14ac:dyDescent="0.25">
      <c r="A405" s="10"/>
      <c r="D405" s="9">
        <f>Movimientos[[#This Row],[ENTRADA]]-Movimientos[[#This Row],[SALIDA]]</f>
        <v>0</v>
      </c>
    </row>
    <row r="406" spans="1:9" ht="15.75" customHeight="1" x14ac:dyDescent="0.25">
      <c r="A406" s="10"/>
      <c r="D406" s="9">
        <f>Movimientos[[#This Row],[ENTRADA]]-Movimientos[[#This Row],[SALIDA]]</f>
        <v>0</v>
      </c>
    </row>
    <row r="407" spans="1:9" ht="15.75" customHeight="1" x14ac:dyDescent="0.25">
      <c r="A407" s="10"/>
      <c r="D407" s="9">
        <f>Movimientos[[#This Row],[ENTRADA]]-Movimientos[[#This Row],[SALIDA]]</f>
        <v>0</v>
      </c>
    </row>
    <row r="408" spans="1:9" ht="15.75" customHeight="1" x14ac:dyDescent="0.25">
      <c r="A408" s="10"/>
      <c r="D408" s="9">
        <f>Movimientos[[#This Row],[ENTRADA]]-Movimientos[[#This Row],[SALIDA]]</f>
        <v>0</v>
      </c>
    </row>
    <row r="409" spans="1:9" ht="15.75" customHeight="1" x14ac:dyDescent="0.25">
      <c r="A409" s="10"/>
      <c r="D409" s="9">
        <f>Movimientos[[#This Row],[ENTRADA]]-Movimientos[[#This Row],[SALIDA]]</f>
        <v>0</v>
      </c>
    </row>
    <row r="410" spans="1:9" ht="15.75" customHeight="1" x14ac:dyDescent="0.25">
      <c r="A410" s="10"/>
      <c r="D410" s="9">
        <f>Movimientos[[#This Row],[ENTRADA]]-Movimientos[[#This Row],[SALIDA]]</f>
        <v>0</v>
      </c>
    </row>
    <row r="411" spans="1:9" ht="15.75" customHeight="1" x14ac:dyDescent="0.25">
      <c r="A411" s="10"/>
      <c r="D411" s="9">
        <f>Movimientos[[#This Row],[ENTRADA]]-Movimientos[[#This Row],[SALIDA]]</f>
        <v>0</v>
      </c>
    </row>
    <row r="412" spans="1:9" ht="15.75" customHeight="1" x14ac:dyDescent="0.25">
      <c r="A412" s="10"/>
      <c r="D412" s="9">
        <f>Movimientos[[#This Row],[ENTRADA]]-Movimientos[[#This Row],[SALIDA]]</f>
        <v>0</v>
      </c>
    </row>
    <row r="413" spans="1:9" ht="15.75" customHeight="1" x14ac:dyDescent="0.25">
      <c r="A413" s="10"/>
      <c r="D413" s="9">
        <f>Movimientos[[#This Row],[ENTRADA]]-Movimientos[[#This Row],[SALIDA]]</f>
        <v>0</v>
      </c>
      <c r="I413" s="37"/>
    </row>
    <row r="414" spans="1:9" ht="15.75" customHeight="1" x14ac:dyDescent="0.25">
      <c r="A414" s="10"/>
      <c r="C414" s="36"/>
      <c r="D414" s="9">
        <f>Movimientos[[#This Row],[ENTRADA]]-Movimientos[[#This Row],[SALIDA]]</f>
        <v>0</v>
      </c>
    </row>
    <row r="415" spans="1:9" ht="15.75" customHeight="1" x14ac:dyDescent="0.25">
      <c r="A415" s="10"/>
      <c r="D415" s="9">
        <f>Movimientos[[#This Row],[ENTRADA]]-Movimientos[[#This Row],[SALIDA]]</f>
        <v>0</v>
      </c>
    </row>
    <row r="416" spans="1:9" ht="15.75" customHeight="1" x14ac:dyDescent="0.25">
      <c r="A416" s="10"/>
      <c r="D416" s="9">
        <f>Movimientos[[#This Row],[ENTRADA]]-Movimientos[[#This Row],[SALIDA]]</f>
        <v>0</v>
      </c>
    </row>
    <row r="417" spans="1:4" ht="15.75" customHeight="1" x14ac:dyDescent="0.25">
      <c r="A417" s="10"/>
      <c r="D417" s="9">
        <f>Movimientos[[#This Row],[ENTRADA]]-Movimientos[[#This Row],[SALIDA]]</f>
        <v>0</v>
      </c>
    </row>
    <row r="418" spans="1:4" ht="15.75" customHeight="1" x14ac:dyDescent="0.25">
      <c r="A418" s="10"/>
      <c r="D418" s="9">
        <f>Movimientos[[#This Row],[ENTRADA]]-Movimientos[[#This Row],[SALIDA]]</f>
        <v>0</v>
      </c>
    </row>
    <row r="419" spans="1:4" ht="15.75" customHeight="1" x14ac:dyDescent="0.25">
      <c r="A419" s="10"/>
      <c r="D419" s="9">
        <f>Movimientos[[#This Row],[ENTRADA]]-Movimientos[[#This Row],[SALIDA]]</f>
        <v>0</v>
      </c>
    </row>
    <row r="420" spans="1:4" ht="15.75" customHeight="1" x14ac:dyDescent="0.25">
      <c r="A420" s="10"/>
      <c r="C420" s="37"/>
      <c r="D420" s="9">
        <f>Movimientos[[#This Row],[ENTRADA]]-Movimientos[[#This Row],[SALIDA]]</f>
        <v>0</v>
      </c>
    </row>
    <row r="421" spans="1:4" ht="15.75" customHeight="1" x14ac:dyDescent="0.25">
      <c r="A421" s="10"/>
      <c r="D421" s="9">
        <f>Movimientos[[#This Row],[ENTRADA]]-Movimientos[[#This Row],[SALIDA]]</f>
        <v>0</v>
      </c>
    </row>
    <row r="422" spans="1:4" ht="15.75" customHeight="1" x14ac:dyDescent="0.25">
      <c r="A422" s="10"/>
      <c r="D422" s="9">
        <f>Movimientos[[#This Row],[ENTRADA]]-Movimientos[[#This Row],[SALIDA]]</f>
        <v>0</v>
      </c>
    </row>
    <row r="423" spans="1:4" ht="15.75" customHeight="1" x14ac:dyDescent="0.25">
      <c r="A423" s="10"/>
      <c r="D423" s="9">
        <f>Movimientos[[#This Row],[ENTRADA]]-Movimientos[[#This Row],[SALIDA]]</f>
        <v>0</v>
      </c>
    </row>
    <row r="424" spans="1:4" ht="15.75" customHeight="1" x14ac:dyDescent="0.25">
      <c r="A424" s="10"/>
      <c r="D424" s="9">
        <f>Movimientos[[#This Row],[ENTRADA]]-Movimientos[[#This Row],[SALIDA]]</f>
        <v>0</v>
      </c>
    </row>
    <row r="425" spans="1:4" ht="15.75" customHeight="1" x14ac:dyDescent="0.25">
      <c r="A425" s="10"/>
      <c r="D425" s="9">
        <f>Movimientos[[#This Row],[ENTRADA]]-Movimientos[[#This Row],[SALIDA]]</f>
        <v>0</v>
      </c>
    </row>
    <row r="426" spans="1:4" ht="15.75" customHeight="1" x14ac:dyDescent="0.25">
      <c r="A426" s="10"/>
      <c r="D426" s="9">
        <f>Movimientos[[#This Row],[ENTRADA]]-Movimientos[[#This Row],[SALIDA]]</f>
        <v>0</v>
      </c>
    </row>
    <row r="427" spans="1:4" ht="15.75" customHeight="1" x14ac:dyDescent="0.25">
      <c r="A427" s="10"/>
      <c r="D427" s="9">
        <f>Movimientos[[#This Row],[ENTRADA]]-Movimientos[[#This Row],[SALIDA]]</f>
        <v>0</v>
      </c>
    </row>
    <row r="428" spans="1:4" ht="15.75" customHeight="1" x14ac:dyDescent="0.25">
      <c r="A428" s="10"/>
      <c r="D428" s="9">
        <f>Movimientos[[#This Row],[ENTRADA]]-Movimientos[[#This Row],[SALIDA]]</f>
        <v>0</v>
      </c>
    </row>
    <row r="429" spans="1:4" ht="15.75" customHeight="1" x14ac:dyDescent="0.25">
      <c r="A429" s="10"/>
      <c r="D429" s="9">
        <f>Movimientos[[#This Row],[ENTRADA]]-Movimientos[[#This Row],[SALIDA]]</f>
        <v>0</v>
      </c>
    </row>
    <row r="430" spans="1:4" ht="15.75" customHeight="1" x14ac:dyDescent="0.25">
      <c r="A430" s="10"/>
      <c r="D430" s="9">
        <f>Movimientos[[#This Row],[ENTRADA]]-Movimientos[[#This Row],[SALIDA]]</f>
        <v>0</v>
      </c>
    </row>
    <row r="431" spans="1:4" ht="15.75" customHeight="1" x14ac:dyDescent="0.25">
      <c r="A431" s="10"/>
      <c r="D431" s="9">
        <f>Movimientos[[#This Row],[ENTRADA]]-Movimientos[[#This Row],[SALIDA]]</f>
        <v>0</v>
      </c>
    </row>
    <row r="432" spans="1:4" ht="15.75" customHeight="1" x14ac:dyDescent="0.25">
      <c r="A432" s="10"/>
      <c r="D432" s="9">
        <f>Movimientos[[#This Row],[ENTRADA]]-Movimientos[[#This Row],[SALIDA]]</f>
        <v>0</v>
      </c>
    </row>
    <row r="433" spans="1:4" ht="15.75" customHeight="1" x14ac:dyDescent="0.25">
      <c r="A433" s="10"/>
      <c r="D433" s="9">
        <f>Movimientos[[#This Row],[ENTRADA]]-Movimientos[[#This Row],[SALIDA]]</f>
        <v>0</v>
      </c>
    </row>
    <row r="434" spans="1:4" ht="15.75" customHeight="1" x14ac:dyDescent="0.25">
      <c r="A434" s="10"/>
      <c r="D434" s="9">
        <f>Movimientos[[#This Row],[ENTRADA]]-Movimientos[[#This Row],[SALIDA]]</f>
        <v>0</v>
      </c>
    </row>
    <row r="435" spans="1:4" ht="15.75" customHeight="1" x14ac:dyDescent="0.25">
      <c r="A435" s="10"/>
      <c r="D435" s="9">
        <f>Movimientos[[#This Row],[ENTRADA]]-Movimientos[[#This Row],[SALIDA]]</f>
        <v>0</v>
      </c>
    </row>
    <row r="436" spans="1:4" ht="15.75" customHeight="1" x14ac:dyDescent="0.25">
      <c r="A436" s="10"/>
      <c r="D436" s="9">
        <f>Movimientos[[#This Row],[ENTRADA]]-Movimientos[[#This Row],[SALIDA]]</f>
        <v>0</v>
      </c>
    </row>
    <row r="437" spans="1:4" ht="15.75" customHeight="1" x14ac:dyDescent="0.25">
      <c r="A437" s="10"/>
      <c r="D437" s="9">
        <f>Movimientos[[#This Row],[ENTRADA]]-Movimientos[[#This Row],[SALIDA]]</f>
        <v>0</v>
      </c>
    </row>
    <row r="438" spans="1:4" ht="15.75" customHeight="1" x14ac:dyDescent="0.25">
      <c r="A438" s="10"/>
      <c r="D438" s="9">
        <f>Movimientos[[#This Row],[ENTRADA]]-Movimientos[[#This Row],[SALIDA]]</f>
        <v>0</v>
      </c>
    </row>
    <row r="439" spans="1:4" ht="15.75" customHeight="1" x14ac:dyDescent="0.25">
      <c r="A439" s="10"/>
      <c r="C439"/>
      <c r="D439" s="9">
        <f>Movimientos[[#This Row],[ENTRADA]]-Movimientos[[#This Row],[SALIDA]]</f>
        <v>0</v>
      </c>
    </row>
    <row r="440" spans="1:4" ht="15.75" customHeight="1" x14ac:dyDescent="0.25">
      <c r="A440" s="10"/>
      <c r="D440" s="9">
        <f>Movimientos[[#This Row],[ENTRADA]]-Movimientos[[#This Row],[SALIDA]]</f>
        <v>0</v>
      </c>
    </row>
    <row r="441" spans="1:4" ht="15.75" customHeight="1" x14ac:dyDescent="0.25">
      <c r="A441" s="10"/>
      <c r="D441" s="9">
        <f>Movimientos[[#This Row],[ENTRADA]]-Movimientos[[#This Row],[SALIDA]]</f>
        <v>0</v>
      </c>
    </row>
    <row r="442" spans="1:4" ht="15.75" customHeight="1" x14ac:dyDescent="0.25">
      <c r="A442" s="10"/>
      <c r="D442" s="9">
        <f>Movimientos[[#This Row],[ENTRADA]]-Movimientos[[#This Row],[SALIDA]]</f>
        <v>0</v>
      </c>
    </row>
    <row r="443" spans="1:4" ht="15.75" customHeight="1" x14ac:dyDescent="0.25">
      <c r="A443" s="10"/>
      <c r="D443" s="9">
        <f>Movimientos[[#This Row],[ENTRADA]]-Movimientos[[#This Row],[SALIDA]]</f>
        <v>0</v>
      </c>
    </row>
    <row r="444" spans="1:4" ht="15.75" customHeight="1" x14ac:dyDescent="0.25">
      <c r="A444" s="10"/>
      <c r="D444" s="9">
        <f>Movimientos[[#This Row],[ENTRADA]]-Movimientos[[#This Row],[SALIDA]]</f>
        <v>0</v>
      </c>
    </row>
    <row r="445" spans="1:4" ht="15.75" customHeight="1" x14ac:dyDescent="0.25">
      <c r="A445" s="10"/>
      <c r="D445" s="9">
        <f>Movimientos[[#This Row],[ENTRADA]]-Movimientos[[#This Row],[SALIDA]]</f>
        <v>0</v>
      </c>
    </row>
    <row r="446" spans="1:4" ht="15.75" customHeight="1" x14ac:dyDescent="0.25">
      <c r="A446" s="10"/>
      <c r="D446" s="9">
        <f>Movimientos[[#This Row],[ENTRADA]]-Movimientos[[#This Row],[SALIDA]]</f>
        <v>0</v>
      </c>
    </row>
    <row r="447" spans="1:4" ht="15.75" customHeight="1" x14ac:dyDescent="0.25">
      <c r="A447" s="10"/>
      <c r="D447" s="9">
        <f>Movimientos[[#This Row],[ENTRADA]]-Movimientos[[#This Row],[SALIDA]]</f>
        <v>0</v>
      </c>
    </row>
    <row r="448" spans="1:4" ht="15.75" customHeight="1" x14ac:dyDescent="0.25">
      <c r="A448" s="10"/>
      <c r="D448" s="9">
        <f>Movimientos[[#This Row],[ENTRADA]]-Movimientos[[#This Row],[SALIDA]]</f>
        <v>0</v>
      </c>
    </row>
    <row r="449" spans="1:4" ht="15.75" customHeight="1" x14ac:dyDescent="0.25">
      <c r="A449" s="10"/>
      <c r="D449" s="9">
        <f>Movimientos[[#This Row],[ENTRADA]]-Movimientos[[#This Row],[SALIDA]]</f>
        <v>0</v>
      </c>
    </row>
    <row r="450" spans="1:4" ht="15.75" customHeight="1" x14ac:dyDescent="0.25">
      <c r="A450" s="10"/>
      <c r="D450" s="9">
        <f>Movimientos[[#This Row],[ENTRADA]]-Movimientos[[#This Row],[SALIDA]]</f>
        <v>0</v>
      </c>
    </row>
    <row r="451" spans="1:4" ht="15.75" customHeight="1" x14ac:dyDescent="0.25">
      <c r="A451" s="10"/>
      <c r="D451" s="9">
        <f>Movimientos[[#This Row],[ENTRADA]]-Movimientos[[#This Row],[SALIDA]]</f>
        <v>0</v>
      </c>
    </row>
    <row r="452" spans="1:4" ht="15.75" customHeight="1" x14ac:dyDescent="0.25">
      <c r="A452" s="10"/>
      <c r="D452" s="9">
        <f>Movimientos[[#This Row],[ENTRADA]]-Movimientos[[#This Row],[SALIDA]]</f>
        <v>0</v>
      </c>
    </row>
    <row r="453" spans="1:4" ht="15.75" customHeight="1" x14ac:dyDescent="0.25">
      <c r="A453" s="10"/>
      <c r="D453" s="9">
        <f>Movimientos[[#This Row],[ENTRADA]]-Movimientos[[#This Row],[SALIDA]]</f>
        <v>0</v>
      </c>
    </row>
    <row r="454" spans="1:4" ht="15.75" customHeight="1" x14ac:dyDescent="0.25">
      <c r="A454" s="10"/>
      <c r="D454" s="9">
        <f>Movimientos[[#This Row],[ENTRADA]]-Movimientos[[#This Row],[SALIDA]]</f>
        <v>0</v>
      </c>
    </row>
    <row r="455" spans="1:4" ht="15.75" customHeight="1" x14ac:dyDescent="0.25">
      <c r="A455" s="10"/>
      <c r="D455" s="9">
        <f>Movimientos[[#This Row],[ENTRADA]]-Movimientos[[#This Row],[SALIDA]]</f>
        <v>0</v>
      </c>
    </row>
    <row r="456" spans="1:4" ht="15.75" customHeight="1" x14ac:dyDescent="0.25">
      <c r="A456" s="10"/>
      <c r="D456" s="9">
        <f>Movimientos[[#This Row],[ENTRADA]]-Movimientos[[#This Row],[SALIDA]]</f>
        <v>0</v>
      </c>
    </row>
    <row r="457" spans="1:4" ht="15.75" customHeight="1" x14ac:dyDescent="0.25">
      <c r="A457" s="10"/>
      <c r="D457" s="9">
        <f>Movimientos[[#This Row],[ENTRADA]]-Movimientos[[#This Row],[SALIDA]]</f>
        <v>0</v>
      </c>
    </row>
    <row r="458" spans="1:4" ht="15.75" customHeight="1" x14ac:dyDescent="0.25">
      <c r="A458" s="10"/>
      <c r="D458" s="9">
        <f>Movimientos[[#This Row],[ENTRADA]]-Movimientos[[#This Row],[SALIDA]]</f>
        <v>0</v>
      </c>
    </row>
    <row r="459" spans="1:4" ht="15.75" customHeight="1" x14ac:dyDescent="0.25">
      <c r="A459" s="10"/>
      <c r="D459" s="9">
        <f>Movimientos[[#This Row],[ENTRADA]]-Movimientos[[#This Row],[SALIDA]]</f>
        <v>0</v>
      </c>
    </row>
    <row r="460" spans="1:4" ht="15.75" customHeight="1" x14ac:dyDescent="0.25">
      <c r="A460" s="10"/>
      <c r="D460" s="9">
        <f>Movimientos[[#This Row],[ENTRADA]]-Movimientos[[#This Row],[SALIDA]]</f>
        <v>0</v>
      </c>
    </row>
    <row r="461" spans="1:4" ht="15.75" customHeight="1" x14ac:dyDescent="0.25">
      <c r="A461" s="10"/>
      <c r="D461" s="9">
        <f>Movimientos[[#This Row],[ENTRADA]]-Movimientos[[#This Row],[SALIDA]]</f>
        <v>0</v>
      </c>
    </row>
    <row r="462" spans="1:4" ht="15.75" customHeight="1" x14ac:dyDescent="0.25">
      <c r="A462" s="10"/>
      <c r="D462" s="9">
        <f>Movimientos[[#This Row],[ENTRADA]]-Movimientos[[#This Row],[SALIDA]]</f>
        <v>0</v>
      </c>
    </row>
    <row r="463" spans="1:4" ht="15.75" customHeight="1" x14ac:dyDescent="0.25">
      <c r="A463" s="10"/>
      <c r="D463" s="9">
        <f>Movimientos[[#This Row],[ENTRADA]]-Movimientos[[#This Row],[SALIDA]]</f>
        <v>0</v>
      </c>
    </row>
    <row r="464" spans="1:4" ht="15.75" customHeight="1" x14ac:dyDescent="0.25">
      <c r="A464" s="10"/>
      <c r="D464" s="9">
        <f>Movimientos[[#This Row],[ENTRADA]]-Movimientos[[#This Row],[SALIDA]]</f>
        <v>0</v>
      </c>
    </row>
    <row r="465" spans="1:4" ht="15.75" customHeight="1" x14ac:dyDescent="0.25">
      <c r="A465" s="10"/>
      <c r="D465" s="9">
        <f>Movimientos[[#This Row],[ENTRADA]]-Movimientos[[#This Row],[SALIDA]]</f>
        <v>0</v>
      </c>
    </row>
    <row r="466" spans="1:4" ht="15.75" customHeight="1" x14ac:dyDescent="0.25">
      <c r="A466" s="10"/>
      <c r="D466" s="9">
        <f>Movimientos[[#This Row],[ENTRADA]]-Movimientos[[#This Row],[SALIDA]]</f>
        <v>0</v>
      </c>
    </row>
    <row r="467" spans="1:4" ht="15.75" customHeight="1" x14ac:dyDescent="0.25">
      <c r="A467" s="10"/>
      <c r="D467" s="9">
        <f>Movimientos[[#This Row],[ENTRADA]]-Movimientos[[#This Row],[SALIDA]]</f>
        <v>0</v>
      </c>
    </row>
    <row r="468" spans="1:4" ht="15.75" customHeight="1" x14ac:dyDescent="0.25">
      <c r="A468" s="10"/>
      <c r="D468" s="9">
        <f>Movimientos[[#This Row],[ENTRADA]]-Movimientos[[#This Row],[SALIDA]]</f>
        <v>0</v>
      </c>
    </row>
    <row r="469" spans="1:4" ht="15.75" customHeight="1" x14ac:dyDescent="0.25">
      <c r="A469" s="10"/>
      <c r="D469" s="9">
        <f>Movimientos[[#This Row],[ENTRADA]]-Movimientos[[#This Row],[SALIDA]]</f>
        <v>0</v>
      </c>
    </row>
    <row r="470" spans="1:4" ht="15.75" customHeight="1" x14ac:dyDescent="0.25">
      <c r="A470" s="10"/>
      <c r="D470" s="9">
        <f>Movimientos[[#This Row],[ENTRADA]]-Movimientos[[#This Row],[SALIDA]]</f>
        <v>0</v>
      </c>
    </row>
    <row r="471" spans="1:4" ht="15.75" customHeight="1" x14ac:dyDescent="0.25">
      <c r="A471" s="10"/>
      <c r="D471" s="9">
        <f>Movimientos[[#This Row],[ENTRADA]]-Movimientos[[#This Row],[SALIDA]]</f>
        <v>0</v>
      </c>
    </row>
    <row r="472" spans="1:4" ht="15.75" customHeight="1" x14ac:dyDescent="0.25">
      <c r="A472" s="10"/>
      <c r="D472" s="9">
        <f>Movimientos[[#This Row],[ENTRADA]]-Movimientos[[#This Row],[SALIDA]]</f>
        <v>0</v>
      </c>
    </row>
    <row r="473" spans="1:4" ht="15.75" customHeight="1" x14ac:dyDescent="0.25">
      <c r="A473" s="10"/>
      <c r="D473" s="9">
        <f>Movimientos[[#This Row],[ENTRADA]]-Movimientos[[#This Row],[SALIDA]]</f>
        <v>0</v>
      </c>
    </row>
    <row r="474" spans="1:4" ht="15.75" customHeight="1" x14ac:dyDescent="0.25">
      <c r="A474" s="10"/>
      <c r="D474" s="9">
        <f>Movimientos[[#This Row],[ENTRADA]]-Movimientos[[#This Row],[SALIDA]]</f>
        <v>0</v>
      </c>
    </row>
    <row r="475" spans="1:4" ht="15.75" customHeight="1" x14ac:dyDescent="0.25">
      <c r="A475" s="10"/>
      <c r="D475" s="9">
        <f>Movimientos[[#This Row],[ENTRADA]]-Movimientos[[#This Row],[SALIDA]]</f>
        <v>0</v>
      </c>
    </row>
    <row r="476" spans="1:4" ht="15.75" customHeight="1" x14ac:dyDescent="0.25">
      <c r="A476" s="10"/>
      <c r="D476" s="9">
        <f>Movimientos[[#This Row],[ENTRADA]]-Movimientos[[#This Row],[SALIDA]]</f>
        <v>0</v>
      </c>
    </row>
    <row r="477" spans="1:4" ht="15.75" customHeight="1" x14ac:dyDescent="0.25">
      <c r="A477" s="10"/>
      <c r="D477" s="9">
        <f>Movimientos[[#This Row],[ENTRADA]]-Movimientos[[#This Row],[SALIDA]]</f>
        <v>0</v>
      </c>
    </row>
    <row r="478" spans="1:4" ht="15.75" customHeight="1" x14ac:dyDescent="0.25">
      <c r="A478" s="10"/>
      <c r="D478" s="9">
        <f>Movimientos[[#This Row],[ENTRADA]]-Movimientos[[#This Row],[SALIDA]]</f>
        <v>0</v>
      </c>
    </row>
    <row r="479" spans="1:4" ht="15.75" customHeight="1" x14ac:dyDescent="0.25">
      <c r="A479" s="10"/>
      <c r="D479" s="9">
        <f>Movimientos[[#This Row],[ENTRADA]]-Movimientos[[#This Row],[SALIDA]]</f>
        <v>0</v>
      </c>
    </row>
    <row r="480" spans="1:4" ht="15.75" customHeight="1" x14ac:dyDescent="0.25">
      <c r="A480" s="10"/>
      <c r="D480" s="9">
        <f>Movimientos[[#This Row],[ENTRADA]]-Movimientos[[#This Row],[SALIDA]]</f>
        <v>0</v>
      </c>
    </row>
    <row r="481" spans="1:4" ht="15.75" customHeight="1" x14ac:dyDescent="0.25">
      <c r="A481" s="10"/>
      <c r="D481" s="9">
        <f>Movimientos[[#This Row],[ENTRADA]]-Movimientos[[#This Row],[SALIDA]]</f>
        <v>0</v>
      </c>
    </row>
    <row r="482" spans="1:4" ht="15.75" customHeight="1" x14ac:dyDescent="0.25">
      <c r="A482" s="10"/>
      <c r="D482" s="9">
        <f>Movimientos[[#This Row],[ENTRADA]]-Movimientos[[#This Row],[SALIDA]]</f>
        <v>0</v>
      </c>
    </row>
    <row r="483" spans="1:4" ht="15.75" customHeight="1" x14ac:dyDescent="0.25">
      <c r="A483" s="10"/>
      <c r="D483" s="9">
        <f>Movimientos[[#This Row],[ENTRADA]]-Movimientos[[#This Row],[SALIDA]]</f>
        <v>0</v>
      </c>
    </row>
    <row r="484" spans="1:4" ht="15.75" customHeight="1" x14ac:dyDescent="0.25">
      <c r="A484" s="10"/>
      <c r="D484" s="9">
        <f>Movimientos[[#This Row],[ENTRADA]]-Movimientos[[#This Row],[SALIDA]]</f>
        <v>0</v>
      </c>
    </row>
    <row r="485" spans="1:4" ht="15.75" customHeight="1" x14ac:dyDescent="0.25">
      <c r="A485" s="10"/>
      <c r="D485" s="9">
        <f>Movimientos[[#This Row],[ENTRADA]]-Movimientos[[#This Row],[SALIDA]]</f>
        <v>0</v>
      </c>
    </row>
    <row r="486" spans="1:4" ht="15.75" customHeight="1" x14ac:dyDescent="0.25">
      <c r="A486" s="10"/>
      <c r="D486" s="9">
        <f>Movimientos[[#This Row],[ENTRADA]]-Movimientos[[#This Row],[SALIDA]]</f>
        <v>0</v>
      </c>
    </row>
    <row r="487" spans="1:4" ht="15.75" customHeight="1" x14ac:dyDescent="0.25">
      <c r="A487" s="10"/>
      <c r="D487" s="9">
        <f>Movimientos[[#This Row],[ENTRADA]]-Movimientos[[#This Row],[SALIDA]]</f>
        <v>0</v>
      </c>
    </row>
    <row r="488" spans="1:4" ht="15.75" customHeight="1" x14ac:dyDescent="0.25">
      <c r="A488" s="10"/>
      <c r="D488" s="9">
        <f>Movimientos[[#This Row],[ENTRADA]]-Movimientos[[#This Row],[SALIDA]]</f>
        <v>0</v>
      </c>
    </row>
    <row r="489" spans="1:4" ht="15.75" customHeight="1" x14ac:dyDescent="0.25">
      <c r="A489" s="10"/>
      <c r="D489" s="9">
        <f>Movimientos[[#This Row],[ENTRADA]]-Movimientos[[#This Row],[SALIDA]]</f>
        <v>0</v>
      </c>
    </row>
    <row r="490" spans="1:4" ht="15.75" customHeight="1" x14ac:dyDescent="0.25">
      <c r="A490" s="10"/>
      <c r="D490" s="9">
        <f>Movimientos[[#This Row],[ENTRADA]]-Movimientos[[#This Row],[SALIDA]]</f>
        <v>0</v>
      </c>
    </row>
    <row r="491" spans="1:4" ht="15.75" customHeight="1" x14ac:dyDescent="0.25">
      <c r="A491" s="10"/>
      <c r="D491" s="9">
        <f>Movimientos[[#This Row],[ENTRADA]]-Movimientos[[#This Row],[SALIDA]]</f>
        <v>0</v>
      </c>
    </row>
    <row r="492" spans="1:4" ht="15.75" customHeight="1" x14ac:dyDescent="0.25">
      <c r="A492" s="10"/>
      <c r="D492" s="9">
        <f>Movimientos[[#This Row],[ENTRADA]]-Movimientos[[#This Row],[SALIDA]]</f>
        <v>0</v>
      </c>
    </row>
    <row r="493" spans="1:4" ht="15.75" customHeight="1" x14ac:dyDescent="0.25">
      <c r="A493" s="10"/>
      <c r="D493" s="9">
        <f>Movimientos[[#This Row],[ENTRADA]]-Movimientos[[#This Row],[SALIDA]]</f>
        <v>0</v>
      </c>
    </row>
    <row r="494" spans="1:4" ht="15.75" customHeight="1" x14ac:dyDescent="0.25">
      <c r="A494" s="10"/>
      <c r="D494" s="9">
        <f>Movimientos[[#This Row],[ENTRADA]]-Movimientos[[#This Row],[SALIDA]]</f>
        <v>0</v>
      </c>
    </row>
    <row r="495" spans="1:4" ht="15.75" customHeight="1" x14ac:dyDescent="0.25">
      <c r="A495" s="10"/>
      <c r="D495" s="9">
        <f>Movimientos[[#This Row],[ENTRADA]]-Movimientos[[#This Row],[SALIDA]]</f>
        <v>0</v>
      </c>
    </row>
    <row r="496" spans="1:4" ht="15.75" customHeight="1" x14ac:dyDescent="0.25">
      <c r="A496" s="10"/>
      <c r="D496" s="9">
        <f>Movimientos[[#This Row],[ENTRADA]]-Movimientos[[#This Row],[SALIDA]]</f>
        <v>0</v>
      </c>
    </row>
    <row r="497" spans="1:4" ht="15.75" customHeight="1" x14ac:dyDescent="0.25">
      <c r="A497" s="10"/>
      <c r="D497" s="9">
        <f>Movimientos[[#This Row],[ENTRADA]]-Movimientos[[#This Row],[SALIDA]]</f>
        <v>0</v>
      </c>
    </row>
    <row r="498" spans="1:4" ht="15.75" customHeight="1" x14ac:dyDescent="0.25">
      <c r="A498" s="10"/>
      <c r="D498" s="9">
        <f>Movimientos[[#This Row],[ENTRADA]]-Movimientos[[#This Row],[SALIDA]]</f>
        <v>0</v>
      </c>
    </row>
    <row r="499" spans="1:4" ht="15.75" customHeight="1" x14ac:dyDescent="0.25">
      <c r="A499" s="10"/>
      <c r="D499" s="9">
        <f>Movimientos[[#This Row],[ENTRADA]]-Movimientos[[#This Row],[SALIDA]]</f>
        <v>0</v>
      </c>
    </row>
    <row r="500" spans="1:4" ht="15.75" customHeight="1" x14ac:dyDescent="0.25">
      <c r="A500" s="10"/>
      <c r="D500" s="9">
        <f>Movimientos[[#This Row],[ENTRADA]]-Movimientos[[#This Row],[SALIDA]]</f>
        <v>0</v>
      </c>
    </row>
    <row r="501" spans="1:4" ht="15.75" customHeight="1" x14ac:dyDescent="0.25">
      <c r="A501" s="10"/>
      <c r="D501" s="9">
        <f>Movimientos[[#This Row],[ENTRADA]]-Movimientos[[#This Row],[SALIDA]]</f>
        <v>0</v>
      </c>
    </row>
    <row r="502" spans="1:4" ht="15.75" customHeight="1" x14ac:dyDescent="0.25">
      <c r="A502" s="10"/>
      <c r="D502" s="9">
        <f>Movimientos[[#This Row],[ENTRADA]]-Movimientos[[#This Row],[SALIDA]]</f>
        <v>0</v>
      </c>
    </row>
    <row r="503" spans="1:4" ht="15.75" customHeight="1" x14ac:dyDescent="0.25">
      <c r="A503" s="10"/>
      <c r="D503" s="9">
        <f>Movimientos[[#This Row],[ENTRADA]]-Movimientos[[#This Row],[SALIDA]]</f>
        <v>0</v>
      </c>
    </row>
    <row r="504" spans="1:4" ht="15.75" customHeight="1" x14ac:dyDescent="0.25">
      <c r="A504" s="10"/>
      <c r="D504" s="9">
        <f>Movimientos[[#This Row],[ENTRADA]]-Movimientos[[#This Row],[SALIDA]]</f>
        <v>0</v>
      </c>
    </row>
    <row r="505" spans="1:4" ht="15.75" customHeight="1" x14ac:dyDescent="0.25">
      <c r="A505" s="10"/>
      <c r="D505" s="9">
        <f>Movimientos[[#This Row],[ENTRADA]]-Movimientos[[#This Row],[SALIDA]]</f>
        <v>0</v>
      </c>
    </row>
    <row r="506" spans="1:4" ht="15.75" customHeight="1" x14ac:dyDescent="0.25">
      <c r="A506" s="10"/>
      <c r="D506" s="9">
        <f>Movimientos[[#This Row],[ENTRADA]]-Movimientos[[#This Row],[SALIDA]]</f>
        <v>0</v>
      </c>
    </row>
    <row r="507" spans="1:4" ht="15.75" customHeight="1" x14ac:dyDescent="0.25">
      <c r="A507" s="10"/>
      <c r="D507" s="9">
        <f>Movimientos[[#This Row],[ENTRADA]]-Movimientos[[#This Row],[SALIDA]]</f>
        <v>0</v>
      </c>
    </row>
    <row r="508" spans="1:4" ht="15.75" customHeight="1" x14ac:dyDescent="0.25">
      <c r="A508" s="10"/>
      <c r="D508" s="9">
        <f>Movimientos[[#This Row],[ENTRADA]]-Movimientos[[#This Row],[SALIDA]]</f>
        <v>0</v>
      </c>
    </row>
    <row r="509" spans="1:4" ht="15.75" customHeight="1" x14ac:dyDescent="0.25">
      <c r="A509" s="10"/>
      <c r="D509" s="9">
        <f>Movimientos[[#This Row],[ENTRADA]]-Movimientos[[#This Row],[SALIDA]]</f>
        <v>0</v>
      </c>
    </row>
    <row r="510" spans="1:4" ht="15.75" customHeight="1" x14ac:dyDescent="0.25">
      <c r="A510" s="10"/>
      <c r="D510" s="9">
        <f>Movimientos[[#This Row],[ENTRADA]]-Movimientos[[#This Row],[SALIDA]]</f>
        <v>0</v>
      </c>
    </row>
    <row r="511" spans="1:4" ht="15.75" customHeight="1" x14ac:dyDescent="0.25">
      <c r="A511" s="10"/>
      <c r="D511" s="9">
        <f>Movimientos[[#This Row],[ENTRADA]]-Movimientos[[#This Row],[SALIDA]]</f>
        <v>0</v>
      </c>
    </row>
    <row r="512" spans="1:4" ht="15.75" customHeight="1" x14ac:dyDescent="0.25">
      <c r="A512" s="10"/>
      <c r="D512" s="9">
        <f>Movimientos[[#This Row],[ENTRADA]]-Movimientos[[#This Row],[SALIDA]]</f>
        <v>0</v>
      </c>
    </row>
    <row r="513" spans="1:4" ht="15.75" customHeight="1" x14ac:dyDescent="0.25">
      <c r="A513" s="10"/>
      <c r="D513" s="9">
        <f>Movimientos[[#This Row],[ENTRADA]]-Movimientos[[#This Row],[SALIDA]]</f>
        <v>0</v>
      </c>
    </row>
    <row r="514" spans="1:4" ht="15.75" customHeight="1" x14ac:dyDescent="0.25">
      <c r="A514" s="10"/>
      <c r="D514" s="9">
        <f>Movimientos[[#This Row],[ENTRADA]]-Movimientos[[#This Row],[SALIDA]]</f>
        <v>0</v>
      </c>
    </row>
    <row r="515" spans="1:4" ht="15.75" customHeight="1" x14ac:dyDescent="0.25">
      <c r="A515" s="10"/>
      <c r="D515" s="9">
        <f>Movimientos[[#This Row],[ENTRADA]]-Movimientos[[#This Row],[SALIDA]]</f>
        <v>0</v>
      </c>
    </row>
    <row r="516" spans="1:4" ht="15.75" customHeight="1" x14ac:dyDescent="0.25">
      <c r="A516" s="10"/>
      <c r="D516" s="9">
        <f>Movimientos[[#This Row],[ENTRADA]]-Movimientos[[#This Row],[SALIDA]]</f>
        <v>0</v>
      </c>
    </row>
    <row r="517" spans="1:4" ht="15.75" customHeight="1" x14ac:dyDescent="0.25">
      <c r="A517" s="10"/>
      <c r="D517" s="9">
        <f>Movimientos[[#This Row],[ENTRADA]]-Movimientos[[#This Row],[SALIDA]]</f>
        <v>0</v>
      </c>
    </row>
    <row r="518" spans="1:4" ht="15.75" customHeight="1" x14ac:dyDescent="0.25">
      <c r="A518" s="10"/>
      <c r="D518" s="9">
        <f>Movimientos[[#This Row],[ENTRADA]]-Movimientos[[#This Row],[SALIDA]]</f>
        <v>0</v>
      </c>
    </row>
    <row r="519" spans="1:4" ht="15.75" customHeight="1" x14ac:dyDescent="0.25">
      <c r="A519" s="10"/>
      <c r="D519" s="9">
        <f>Movimientos[[#This Row],[ENTRADA]]-Movimientos[[#This Row],[SALIDA]]</f>
        <v>0</v>
      </c>
    </row>
    <row r="520" spans="1:4" ht="15.75" customHeight="1" x14ac:dyDescent="0.25">
      <c r="A520" s="10"/>
      <c r="D520" s="9">
        <f>Movimientos[[#This Row],[ENTRADA]]-Movimientos[[#This Row],[SALIDA]]</f>
        <v>0</v>
      </c>
    </row>
    <row r="521" spans="1:4" ht="15.75" customHeight="1" x14ac:dyDescent="0.25">
      <c r="A521" s="10"/>
      <c r="D521" s="9">
        <f>Movimientos[[#This Row],[ENTRADA]]-Movimientos[[#This Row],[SALIDA]]</f>
        <v>0</v>
      </c>
    </row>
    <row r="522" spans="1:4" ht="15.75" customHeight="1" x14ac:dyDescent="0.25">
      <c r="A522" s="10"/>
      <c r="D522" s="9">
        <f>Movimientos[[#This Row],[ENTRADA]]-Movimientos[[#This Row],[SALIDA]]</f>
        <v>0</v>
      </c>
    </row>
    <row r="523" spans="1:4" ht="15.75" customHeight="1" x14ac:dyDescent="0.25">
      <c r="A523" s="10"/>
      <c r="D523" s="9">
        <f>Movimientos[[#This Row],[ENTRADA]]-Movimientos[[#This Row],[SALIDA]]</f>
        <v>0</v>
      </c>
    </row>
    <row r="524" spans="1:4" ht="15.75" customHeight="1" x14ac:dyDescent="0.25">
      <c r="A524" s="10"/>
      <c r="D524" s="9">
        <f>Movimientos[[#This Row],[ENTRADA]]-Movimientos[[#This Row],[SALIDA]]</f>
        <v>0</v>
      </c>
    </row>
    <row r="525" spans="1:4" ht="15.75" customHeight="1" x14ac:dyDescent="0.25">
      <c r="A525" s="10"/>
      <c r="D525" s="9">
        <f>Movimientos[[#This Row],[ENTRADA]]-Movimientos[[#This Row],[SALIDA]]</f>
        <v>0</v>
      </c>
    </row>
    <row r="526" spans="1:4" ht="15.75" customHeight="1" x14ac:dyDescent="0.25">
      <c r="A526" s="10"/>
      <c r="D526" s="9">
        <f>Movimientos[[#This Row],[ENTRADA]]-Movimientos[[#This Row],[SALIDA]]</f>
        <v>0</v>
      </c>
    </row>
    <row r="527" spans="1:4" ht="15.75" customHeight="1" x14ac:dyDescent="0.25">
      <c r="A527" s="10"/>
      <c r="D527" s="9">
        <f>Movimientos[[#This Row],[ENTRADA]]-Movimientos[[#This Row],[SALIDA]]</f>
        <v>0</v>
      </c>
    </row>
    <row r="528" spans="1:4" ht="15.75" customHeight="1" x14ac:dyDescent="0.25">
      <c r="A528" s="10"/>
      <c r="D528" s="9">
        <f>Movimientos[[#This Row],[ENTRADA]]-Movimientos[[#This Row],[SALIDA]]</f>
        <v>0</v>
      </c>
    </row>
    <row r="529" spans="1:4" ht="15.75" customHeight="1" x14ac:dyDescent="0.25">
      <c r="A529" s="10"/>
      <c r="D529" s="9">
        <f>Movimientos[[#This Row],[ENTRADA]]-Movimientos[[#This Row],[SALIDA]]</f>
        <v>0</v>
      </c>
    </row>
    <row r="530" spans="1:4" ht="15.75" customHeight="1" x14ac:dyDescent="0.25">
      <c r="A530" s="10"/>
      <c r="D530" s="9">
        <f>Movimientos[[#This Row],[ENTRADA]]-Movimientos[[#This Row],[SALIDA]]</f>
        <v>0</v>
      </c>
    </row>
    <row r="531" spans="1:4" ht="15.75" customHeight="1" x14ac:dyDescent="0.25">
      <c r="A531" s="10"/>
      <c r="D531" s="9">
        <f>Movimientos[[#This Row],[ENTRADA]]-Movimientos[[#This Row],[SALIDA]]</f>
        <v>0</v>
      </c>
    </row>
    <row r="532" spans="1:4" ht="15.75" customHeight="1" x14ac:dyDescent="0.25">
      <c r="A532" s="10"/>
      <c r="D532" s="9">
        <f>Movimientos[[#This Row],[ENTRADA]]-Movimientos[[#This Row],[SALIDA]]</f>
        <v>0</v>
      </c>
    </row>
    <row r="533" spans="1:4" ht="15.75" customHeight="1" x14ac:dyDescent="0.25">
      <c r="A533" s="10"/>
      <c r="D533" s="9">
        <f>Movimientos[[#This Row],[ENTRADA]]-Movimientos[[#This Row],[SALIDA]]</f>
        <v>0</v>
      </c>
    </row>
    <row r="534" spans="1:4" ht="15.75" customHeight="1" x14ac:dyDescent="0.25">
      <c r="A534" s="10"/>
      <c r="D534" s="9">
        <f>Movimientos[[#This Row],[ENTRADA]]-Movimientos[[#This Row],[SALIDA]]</f>
        <v>0</v>
      </c>
    </row>
    <row r="535" spans="1:4" ht="15.75" customHeight="1" x14ac:dyDescent="0.25">
      <c r="A535" s="10"/>
      <c r="D535" s="9">
        <f>Movimientos[[#This Row],[ENTRADA]]-Movimientos[[#This Row],[SALIDA]]</f>
        <v>0</v>
      </c>
    </row>
    <row r="536" spans="1:4" ht="15.75" customHeight="1" x14ac:dyDescent="0.25">
      <c r="A536" s="10"/>
      <c r="D536" s="9">
        <f>Movimientos[[#This Row],[ENTRADA]]-Movimientos[[#This Row],[SALIDA]]</f>
        <v>0</v>
      </c>
    </row>
    <row r="537" spans="1:4" ht="15.75" customHeight="1" x14ac:dyDescent="0.25">
      <c r="A537" s="10"/>
      <c r="D537" s="9">
        <f>Movimientos[[#This Row],[ENTRADA]]-Movimientos[[#This Row],[SALIDA]]</f>
        <v>0</v>
      </c>
    </row>
    <row r="538" spans="1:4" ht="15.75" customHeight="1" x14ac:dyDescent="0.25">
      <c r="A538" s="10"/>
      <c r="D538" s="9">
        <f>Movimientos[[#This Row],[ENTRADA]]-Movimientos[[#This Row],[SALIDA]]</f>
        <v>0</v>
      </c>
    </row>
    <row r="539" spans="1:4" ht="15.75" customHeight="1" x14ac:dyDescent="0.25">
      <c r="A539" s="10"/>
      <c r="D539" s="9">
        <f>Movimientos[[#This Row],[ENTRADA]]-Movimientos[[#This Row],[SALIDA]]</f>
        <v>0</v>
      </c>
    </row>
    <row r="540" spans="1:4" ht="15.75" customHeight="1" x14ac:dyDescent="0.25">
      <c r="A540" s="10"/>
      <c r="D540" s="9">
        <f>Movimientos[[#This Row],[ENTRADA]]-Movimientos[[#This Row],[SALIDA]]</f>
        <v>0</v>
      </c>
    </row>
    <row r="541" spans="1:4" ht="15.75" customHeight="1" x14ac:dyDescent="0.25">
      <c r="A541" s="10"/>
      <c r="D541" s="9">
        <f>Movimientos[[#This Row],[ENTRADA]]-Movimientos[[#This Row],[SALIDA]]</f>
        <v>0</v>
      </c>
    </row>
    <row r="542" spans="1:4" ht="15.75" customHeight="1" x14ac:dyDescent="0.25">
      <c r="A542" s="10"/>
      <c r="D542" s="9">
        <f>Movimientos[[#This Row],[ENTRADA]]-Movimientos[[#This Row],[SALIDA]]</f>
        <v>0</v>
      </c>
    </row>
    <row r="543" spans="1:4" ht="15.75" customHeight="1" x14ac:dyDescent="0.25">
      <c r="A543" s="10"/>
      <c r="D543" s="9">
        <f>Movimientos[[#This Row],[ENTRADA]]-Movimientos[[#This Row],[SALIDA]]</f>
        <v>0</v>
      </c>
    </row>
    <row r="544" spans="1:4" ht="15.75" customHeight="1" x14ac:dyDescent="0.25">
      <c r="A544" s="10"/>
      <c r="D544" s="9">
        <f>Movimientos[[#This Row],[ENTRADA]]-Movimientos[[#This Row],[SALIDA]]</f>
        <v>0</v>
      </c>
    </row>
    <row r="545" spans="1:4" ht="15.75" customHeight="1" x14ac:dyDescent="0.25">
      <c r="A545" s="10"/>
      <c r="D545" s="9">
        <f>Movimientos[[#This Row],[ENTRADA]]-Movimientos[[#This Row],[SALIDA]]</f>
        <v>0</v>
      </c>
    </row>
    <row r="546" spans="1:4" ht="15.75" customHeight="1" x14ac:dyDescent="0.25">
      <c r="A546" s="10"/>
      <c r="D546" s="9">
        <f>Movimientos[[#This Row],[ENTRADA]]-Movimientos[[#This Row],[SALIDA]]</f>
        <v>0</v>
      </c>
    </row>
    <row r="547" spans="1:4" ht="15.75" customHeight="1" x14ac:dyDescent="0.25">
      <c r="A547" s="10"/>
      <c r="D547" s="9">
        <f>Movimientos[[#This Row],[ENTRADA]]-Movimientos[[#This Row],[SALIDA]]</f>
        <v>0</v>
      </c>
    </row>
    <row r="548" spans="1:4" ht="15.75" customHeight="1" x14ac:dyDescent="0.25">
      <c r="A548" s="10"/>
      <c r="D548" s="9">
        <f>Movimientos[[#This Row],[ENTRADA]]-Movimientos[[#This Row],[SALIDA]]</f>
        <v>0</v>
      </c>
    </row>
    <row r="549" spans="1:4" ht="15.75" customHeight="1" x14ac:dyDescent="0.25">
      <c r="A549" s="10"/>
      <c r="D549" s="9">
        <f>Movimientos[[#This Row],[ENTRADA]]-Movimientos[[#This Row],[SALIDA]]</f>
        <v>0</v>
      </c>
    </row>
    <row r="550" spans="1:4" ht="15.75" customHeight="1" x14ac:dyDescent="0.25">
      <c r="A550" s="10"/>
      <c r="D550" s="9">
        <f>Movimientos[[#This Row],[ENTRADA]]-Movimientos[[#This Row],[SALIDA]]</f>
        <v>0</v>
      </c>
    </row>
    <row r="551" spans="1:4" ht="15.75" customHeight="1" x14ac:dyDescent="0.25">
      <c r="A551" s="10"/>
      <c r="D551" s="9">
        <f>Movimientos[[#This Row],[ENTRADA]]-Movimientos[[#This Row],[SALIDA]]</f>
        <v>0</v>
      </c>
    </row>
    <row r="552" spans="1:4" ht="15.75" customHeight="1" x14ac:dyDescent="0.25">
      <c r="A552" s="10"/>
      <c r="D552" s="9">
        <f>Movimientos[[#This Row],[ENTRADA]]-Movimientos[[#This Row],[SALIDA]]</f>
        <v>0</v>
      </c>
    </row>
    <row r="553" spans="1:4" ht="15.75" customHeight="1" x14ac:dyDescent="0.25">
      <c r="A553" s="10"/>
      <c r="D553" s="9">
        <f>Movimientos[[#This Row],[ENTRADA]]-Movimientos[[#This Row],[SALIDA]]</f>
        <v>0</v>
      </c>
    </row>
    <row r="554" spans="1:4" ht="15.75" customHeight="1" x14ac:dyDescent="0.25">
      <c r="A554" s="10"/>
      <c r="D554" s="9">
        <f>Movimientos[[#This Row],[ENTRADA]]-Movimientos[[#This Row],[SALIDA]]</f>
        <v>0</v>
      </c>
    </row>
    <row r="555" spans="1:4" ht="15.75" customHeight="1" x14ac:dyDescent="0.25">
      <c r="A555" s="10"/>
      <c r="D555" s="9">
        <f>Movimientos[[#This Row],[ENTRADA]]-Movimientos[[#This Row],[SALIDA]]</f>
        <v>0</v>
      </c>
    </row>
    <row r="556" spans="1:4" ht="15.75" customHeight="1" x14ac:dyDescent="0.25">
      <c r="A556" s="10"/>
      <c r="D556" s="9">
        <f>Movimientos[[#This Row],[ENTRADA]]-Movimientos[[#This Row],[SALIDA]]</f>
        <v>0</v>
      </c>
    </row>
    <row r="557" spans="1:4" ht="15.75" customHeight="1" x14ac:dyDescent="0.25">
      <c r="A557" s="10"/>
      <c r="D557" s="9">
        <f>Movimientos[[#This Row],[ENTRADA]]-Movimientos[[#This Row],[SALIDA]]</f>
        <v>0</v>
      </c>
    </row>
    <row r="558" spans="1:4" ht="15.75" customHeight="1" x14ac:dyDescent="0.25">
      <c r="A558" s="10"/>
      <c r="D558" s="9">
        <f>Movimientos[[#This Row],[ENTRADA]]-Movimientos[[#This Row],[SALIDA]]</f>
        <v>0</v>
      </c>
    </row>
    <row r="559" spans="1:4" ht="15.75" customHeight="1" x14ac:dyDescent="0.25">
      <c r="A559" s="10"/>
      <c r="D559" s="9">
        <f>Movimientos[[#This Row],[ENTRADA]]-Movimientos[[#This Row],[SALIDA]]</f>
        <v>0</v>
      </c>
    </row>
    <row r="560" spans="1:4" ht="15.75" customHeight="1" x14ac:dyDescent="0.25">
      <c r="A560" s="10"/>
      <c r="D560" s="9">
        <f>Movimientos[[#This Row],[ENTRADA]]-Movimientos[[#This Row],[SALIDA]]</f>
        <v>0</v>
      </c>
    </row>
    <row r="561" spans="1:4" ht="15.75" customHeight="1" x14ac:dyDescent="0.25">
      <c r="A561" s="10"/>
      <c r="D561" s="9">
        <f>Movimientos[[#This Row],[ENTRADA]]-Movimientos[[#This Row],[SALIDA]]</f>
        <v>0</v>
      </c>
    </row>
    <row r="562" spans="1:4" ht="15.75" customHeight="1" x14ac:dyDescent="0.25">
      <c r="A562" s="10"/>
      <c r="D562" s="9">
        <f>Movimientos[[#This Row],[ENTRADA]]-Movimientos[[#This Row],[SALIDA]]</f>
        <v>0</v>
      </c>
    </row>
    <row r="563" spans="1:4" ht="15.75" customHeight="1" x14ac:dyDescent="0.25">
      <c r="A563" s="10"/>
      <c r="D563" s="9">
        <f>Movimientos[[#This Row],[ENTRADA]]-Movimientos[[#This Row],[SALIDA]]</f>
        <v>0</v>
      </c>
    </row>
    <row r="564" spans="1:4" ht="15.75" customHeight="1" x14ac:dyDescent="0.25">
      <c r="A564" s="10"/>
      <c r="D564" s="9">
        <f>Movimientos[[#This Row],[ENTRADA]]-Movimientos[[#This Row],[SALIDA]]</f>
        <v>0</v>
      </c>
    </row>
    <row r="565" spans="1:4" ht="15.75" customHeight="1" x14ac:dyDescent="0.25">
      <c r="A565" s="10"/>
      <c r="D565" s="9">
        <f>Movimientos[[#This Row],[ENTRADA]]-Movimientos[[#This Row],[SALIDA]]</f>
        <v>0</v>
      </c>
    </row>
    <row r="566" spans="1:4" ht="15.75" customHeight="1" x14ac:dyDescent="0.25">
      <c r="A566" s="10"/>
      <c r="D566" s="9">
        <f>Movimientos[[#This Row],[ENTRADA]]-Movimientos[[#This Row],[SALIDA]]</f>
        <v>0</v>
      </c>
    </row>
    <row r="567" spans="1:4" ht="15.75" customHeight="1" x14ac:dyDescent="0.25">
      <c r="A567" s="10"/>
      <c r="D567" s="9">
        <f>Movimientos[[#This Row],[ENTRADA]]-Movimientos[[#This Row],[SALIDA]]</f>
        <v>0</v>
      </c>
    </row>
    <row r="568" spans="1:4" ht="15.75" customHeight="1" x14ac:dyDescent="0.25">
      <c r="A568" s="10"/>
      <c r="D568" s="9">
        <f>Movimientos[[#This Row],[ENTRADA]]-Movimientos[[#This Row],[SALIDA]]</f>
        <v>0</v>
      </c>
    </row>
    <row r="569" spans="1:4" ht="15.75" customHeight="1" x14ac:dyDescent="0.25">
      <c r="A569" s="10"/>
      <c r="D569" s="9">
        <f>Movimientos[[#This Row],[ENTRADA]]-Movimientos[[#This Row],[SALIDA]]</f>
        <v>0</v>
      </c>
    </row>
    <row r="570" spans="1:4" ht="15.75" customHeight="1" x14ac:dyDescent="0.25">
      <c r="A570" s="10"/>
      <c r="D570" s="9">
        <f>Movimientos[[#This Row],[ENTRADA]]-Movimientos[[#This Row],[SALIDA]]</f>
        <v>0</v>
      </c>
    </row>
    <row r="571" spans="1:4" ht="15.75" customHeight="1" x14ac:dyDescent="0.25">
      <c r="A571" s="10"/>
      <c r="D571" s="9">
        <f>Movimientos[[#This Row],[ENTRADA]]-Movimientos[[#This Row],[SALIDA]]</f>
        <v>0</v>
      </c>
    </row>
    <row r="572" spans="1:4" ht="15.75" customHeight="1" x14ac:dyDescent="0.25">
      <c r="A572" s="10"/>
      <c r="D572" s="9">
        <f>Movimientos[[#This Row],[ENTRADA]]-Movimientos[[#This Row],[SALIDA]]</f>
        <v>0</v>
      </c>
    </row>
    <row r="573" spans="1:4" ht="15.75" customHeight="1" x14ac:dyDescent="0.25">
      <c r="A573" s="10"/>
      <c r="D573" s="9">
        <f>Movimientos[[#This Row],[ENTRADA]]-Movimientos[[#This Row],[SALIDA]]</f>
        <v>0</v>
      </c>
    </row>
    <row r="574" spans="1:4" ht="15.75" customHeight="1" x14ac:dyDescent="0.25">
      <c r="A574" s="10"/>
      <c r="D574" s="9">
        <f>Movimientos[[#This Row],[ENTRADA]]-Movimientos[[#This Row],[SALIDA]]</f>
        <v>0</v>
      </c>
    </row>
    <row r="575" spans="1:4" ht="15.75" customHeight="1" x14ac:dyDescent="0.25">
      <c r="A575" s="10"/>
      <c r="D575" s="9">
        <f>Movimientos[[#This Row],[ENTRADA]]-Movimientos[[#This Row],[SALIDA]]</f>
        <v>0</v>
      </c>
    </row>
    <row r="576" spans="1:4" ht="15.75" customHeight="1" x14ac:dyDescent="0.25">
      <c r="A576" s="10"/>
      <c r="D576" s="9">
        <f>Movimientos[[#This Row],[ENTRADA]]-Movimientos[[#This Row],[SALIDA]]</f>
        <v>0</v>
      </c>
    </row>
    <row r="577" spans="1:11" ht="15.75" customHeight="1" x14ac:dyDescent="0.25">
      <c r="A577" s="10"/>
      <c r="D577" s="9">
        <f>Movimientos[[#This Row],[ENTRADA]]-Movimientos[[#This Row],[SALIDA]]</f>
        <v>0</v>
      </c>
    </row>
    <row r="578" spans="1:11" ht="15.75" customHeight="1" x14ac:dyDescent="0.25">
      <c r="A578" s="10"/>
      <c r="D578" s="9">
        <f>Movimientos[[#This Row],[ENTRADA]]-Movimientos[[#This Row],[SALIDA]]</f>
        <v>0</v>
      </c>
    </row>
    <row r="579" spans="1:11" ht="15.75" customHeight="1" x14ac:dyDescent="0.25">
      <c r="A579" s="10"/>
      <c r="D579" s="9">
        <f>Movimientos[[#This Row],[ENTRADA]]-Movimientos[[#This Row],[SALIDA]]</f>
        <v>0</v>
      </c>
      <c r="J579" s="19"/>
      <c r="K579" s="19"/>
    </row>
    <row r="580" spans="1:11" ht="15.75" customHeight="1" x14ac:dyDescent="0.25">
      <c r="A580" s="10"/>
      <c r="D580" s="9">
        <f>Movimientos[[#This Row],[ENTRADA]]-Movimientos[[#This Row],[SALIDA]]</f>
        <v>0</v>
      </c>
    </row>
    <row r="581" spans="1:11" ht="15.75" customHeight="1" x14ac:dyDescent="0.25">
      <c r="A581" s="10"/>
      <c r="D581" s="9">
        <f>Movimientos[[#This Row],[ENTRADA]]-Movimientos[[#This Row],[SALIDA]]</f>
        <v>0</v>
      </c>
    </row>
    <row r="582" spans="1:11" ht="15.75" customHeight="1" x14ac:dyDescent="0.25">
      <c r="A582" s="10"/>
      <c r="D582" s="9">
        <f>Movimientos[[#This Row],[ENTRADA]]-Movimientos[[#This Row],[SALIDA]]</f>
        <v>0</v>
      </c>
    </row>
    <row r="583" spans="1:11" ht="15.75" customHeight="1" x14ac:dyDescent="0.25">
      <c r="A583" s="10"/>
      <c r="D583" s="9">
        <f>Movimientos[[#This Row],[ENTRADA]]-Movimientos[[#This Row],[SALIDA]]</f>
        <v>0</v>
      </c>
    </row>
    <row r="584" spans="1:11" ht="15.75" customHeight="1" x14ac:dyDescent="0.25">
      <c r="A584" s="10"/>
      <c r="D584" s="9">
        <f>Movimientos[[#This Row],[ENTRADA]]-Movimientos[[#This Row],[SALIDA]]</f>
        <v>0</v>
      </c>
    </row>
    <row r="585" spans="1:11" ht="15.75" customHeight="1" x14ac:dyDescent="0.25">
      <c r="A585" s="10"/>
      <c r="D585" s="9">
        <f>Movimientos[[#This Row],[ENTRADA]]-Movimientos[[#This Row],[SALIDA]]</f>
        <v>0</v>
      </c>
    </row>
    <row r="586" spans="1:11" ht="15.75" customHeight="1" x14ac:dyDescent="0.25">
      <c r="A586" s="10"/>
      <c r="D586" s="9">
        <f>Movimientos[[#This Row],[ENTRADA]]-Movimientos[[#This Row],[SALIDA]]</f>
        <v>0</v>
      </c>
    </row>
    <row r="587" spans="1:11" ht="15.75" customHeight="1" x14ac:dyDescent="0.25">
      <c r="A587" s="10"/>
      <c r="D587" s="9">
        <f>Movimientos[[#This Row],[ENTRADA]]-Movimientos[[#This Row],[SALIDA]]</f>
        <v>0</v>
      </c>
    </row>
    <row r="588" spans="1:11" ht="15.75" customHeight="1" x14ac:dyDescent="0.25">
      <c r="A588" s="10"/>
      <c r="D588" s="9">
        <f>Movimientos[[#This Row],[ENTRADA]]-Movimientos[[#This Row],[SALIDA]]</f>
        <v>0</v>
      </c>
    </row>
    <row r="589" spans="1:11" ht="15.75" customHeight="1" x14ac:dyDescent="0.25">
      <c r="A589" s="10"/>
      <c r="D589" s="9">
        <f>Movimientos[[#This Row],[ENTRADA]]-Movimientos[[#This Row],[SALIDA]]</f>
        <v>0</v>
      </c>
    </row>
    <row r="590" spans="1:11" ht="15.75" customHeight="1" x14ac:dyDescent="0.25">
      <c r="A590" s="10"/>
      <c r="D590" s="9">
        <f>Movimientos[[#This Row],[ENTRADA]]-Movimientos[[#This Row],[SALIDA]]</f>
        <v>0</v>
      </c>
    </row>
    <row r="591" spans="1:11" ht="15.75" customHeight="1" x14ac:dyDescent="0.25">
      <c r="A591" s="10"/>
      <c r="D591" s="9">
        <f>Movimientos[[#This Row],[ENTRADA]]-Movimientos[[#This Row],[SALIDA]]</f>
        <v>0</v>
      </c>
    </row>
    <row r="592" spans="1:11" ht="15.75" customHeight="1" x14ac:dyDescent="0.25">
      <c r="A592" s="10"/>
      <c r="B592" s="43"/>
      <c r="D592" s="9">
        <f>Movimientos[[#This Row],[ENTRADA]]-Movimientos[[#This Row],[SALIDA]]</f>
        <v>0</v>
      </c>
    </row>
    <row r="593" spans="1:4" ht="15.75" customHeight="1" x14ac:dyDescent="0.25">
      <c r="A593" s="10"/>
      <c r="C593" s="43"/>
      <c r="D593" s="9">
        <f>Movimientos[[#This Row],[ENTRADA]]-Movimientos[[#This Row],[SALIDA]]</f>
        <v>0</v>
      </c>
    </row>
    <row r="594" spans="1:4" ht="15.75" customHeight="1" x14ac:dyDescent="0.25">
      <c r="A594" s="10"/>
      <c r="C594" s="43"/>
      <c r="D594" s="9">
        <f>Movimientos[[#This Row],[ENTRADA]]-Movimientos[[#This Row],[SALIDA]]</f>
        <v>0</v>
      </c>
    </row>
    <row r="595" spans="1:4" ht="15.75" customHeight="1" x14ac:dyDescent="0.25">
      <c r="A595" s="10"/>
      <c r="B595" s="43"/>
      <c r="D595" s="9">
        <f>Movimientos[[#This Row],[ENTRADA]]-Movimientos[[#This Row],[SALIDA]]</f>
        <v>0</v>
      </c>
    </row>
    <row r="596" spans="1:4" ht="15.75" customHeight="1" x14ac:dyDescent="0.25">
      <c r="A596" s="10"/>
      <c r="D596" s="9">
        <f>Movimientos[[#This Row],[ENTRADA]]-Movimientos[[#This Row],[SALIDA]]</f>
        <v>0</v>
      </c>
    </row>
    <row r="597" spans="1:4" ht="15.75" customHeight="1" x14ac:dyDescent="0.25">
      <c r="A597" s="10"/>
      <c r="D597" s="9">
        <f>Movimientos[[#This Row],[ENTRADA]]-Movimientos[[#This Row],[SALIDA]]</f>
        <v>0</v>
      </c>
    </row>
    <row r="598" spans="1:4" ht="15.75" customHeight="1" x14ac:dyDescent="0.25">
      <c r="A598" s="10"/>
      <c r="D598" s="9">
        <f>Movimientos[[#This Row],[ENTRADA]]-Movimientos[[#This Row],[SALIDA]]</f>
        <v>0</v>
      </c>
    </row>
    <row r="599" spans="1:4" ht="15.75" customHeight="1" x14ac:dyDescent="0.25">
      <c r="A599" s="10"/>
      <c r="D599" s="9">
        <f>Movimientos[[#This Row],[ENTRADA]]-Movimientos[[#This Row],[SALIDA]]</f>
        <v>0</v>
      </c>
    </row>
    <row r="600" spans="1:4" ht="15.75" customHeight="1" x14ac:dyDescent="0.25">
      <c r="A600" s="10"/>
      <c r="D600" s="9">
        <f>Movimientos[[#This Row],[ENTRADA]]-Movimientos[[#This Row],[SALIDA]]</f>
        <v>0</v>
      </c>
    </row>
    <row r="601" spans="1:4" ht="15.75" customHeight="1" x14ac:dyDescent="0.25">
      <c r="A601" s="10"/>
      <c r="D601" s="9">
        <f>Movimientos[[#This Row],[ENTRADA]]-Movimientos[[#This Row],[SALIDA]]</f>
        <v>0</v>
      </c>
    </row>
    <row r="602" spans="1:4" ht="15.75" customHeight="1" x14ac:dyDescent="0.25">
      <c r="A602" s="10"/>
      <c r="D602" s="9">
        <f>Movimientos[[#This Row],[ENTRADA]]-Movimientos[[#This Row],[SALIDA]]</f>
        <v>0</v>
      </c>
    </row>
    <row r="603" spans="1:4" ht="15.75" customHeight="1" x14ac:dyDescent="0.25">
      <c r="A603" s="10"/>
      <c r="D603" s="9">
        <f>Movimientos[[#This Row],[ENTRADA]]-Movimientos[[#This Row],[SALIDA]]</f>
        <v>0</v>
      </c>
    </row>
    <row r="604" spans="1:4" ht="15.75" customHeight="1" x14ac:dyDescent="0.25">
      <c r="A604" s="10"/>
      <c r="D604" s="9">
        <f>Movimientos[[#This Row],[ENTRADA]]-Movimientos[[#This Row],[SALIDA]]</f>
        <v>0</v>
      </c>
    </row>
    <row r="605" spans="1:4" ht="15.75" customHeight="1" x14ac:dyDescent="0.25">
      <c r="A605" s="10"/>
      <c r="D605" s="9">
        <f>Movimientos[[#This Row],[ENTRADA]]-Movimientos[[#This Row],[SALIDA]]</f>
        <v>0</v>
      </c>
    </row>
    <row r="606" spans="1:4" ht="15.75" customHeight="1" x14ac:dyDescent="0.25">
      <c r="A606" s="10"/>
      <c r="D606" s="9">
        <f>Movimientos[[#This Row],[ENTRADA]]-Movimientos[[#This Row],[SALIDA]]</f>
        <v>0</v>
      </c>
    </row>
    <row r="607" spans="1:4" ht="15.75" customHeight="1" x14ac:dyDescent="0.25">
      <c r="A607" s="10"/>
      <c r="D607" s="9">
        <f>Movimientos[[#This Row],[ENTRADA]]-Movimientos[[#This Row],[SALIDA]]</f>
        <v>0</v>
      </c>
    </row>
    <row r="608" spans="1:4" ht="15.75" customHeight="1" x14ac:dyDescent="0.25">
      <c r="A608" s="10"/>
      <c r="D608" s="9">
        <f>Movimientos[[#This Row],[ENTRADA]]-Movimientos[[#This Row],[SALIDA]]</f>
        <v>0</v>
      </c>
    </row>
    <row r="609" spans="1:4" ht="15.75" customHeight="1" x14ac:dyDescent="0.25">
      <c r="A609" s="10"/>
      <c r="D609" s="9">
        <f>Movimientos[[#This Row],[ENTRADA]]-Movimientos[[#This Row],[SALIDA]]</f>
        <v>0</v>
      </c>
    </row>
    <row r="610" spans="1:4" ht="15.75" customHeight="1" x14ac:dyDescent="0.25">
      <c r="A610" s="10"/>
      <c r="D610" s="9">
        <f>Movimientos[[#This Row],[ENTRADA]]-Movimientos[[#This Row],[SALIDA]]</f>
        <v>0</v>
      </c>
    </row>
    <row r="611" spans="1:4" ht="15.75" customHeight="1" x14ac:dyDescent="0.25">
      <c r="A611" s="10"/>
      <c r="D611" s="9">
        <f>Movimientos[[#This Row],[ENTRADA]]-Movimientos[[#This Row],[SALIDA]]</f>
        <v>0</v>
      </c>
    </row>
    <row r="612" spans="1:4" ht="15.75" customHeight="1" x14ac:dyDescent="0.25">
      <c r="A612" s="10"/>
      <c r="D612" s="9">
        <f>Movimientos[[#This Row],[ENTRADA]]-Movimientos[[#This Row],[SALIDA]]</f>
        <v>0</v>
      </c>
    </row>
    <row r="613" spans="1:4" ht="15.75" customHeight="1" x14ac:dyDescent="0.25">
      <c r="A613" s="10"/>
      <c r="D613" s="9">
        <f>Movimientos[[#This Row],[ENTRADA]]-Movimientos[[#This Row],[SALIDA]]</f>
        <v>0</v>
      </c>
    </row>
    <row r="614" spans="1:4" ht="15.75" customHeight="1" x14ac:dyDescent="0.25">
      <c r="A614" s="10"/>
      <c r="D614" s="9">
        <f>Movimientos[[#This Row],[ENTRADA]]-Movimientos[[#This Row],[SALIDA]]</f>
        <v>0</v>
      </c>
    </row>
    <row r="615" spans="1:4" ht="15.75" customHeight="1" x14ac:dyDescent="0.25">
      <c r="A615" s="10"/>
      <c r="D615" s="9">
        <f>Movimientos[[#This Row],[ENTRADA]]-Movimientos[[#This Row],[SALIDA]]</f>
        <v>0</v>
      </c>
    </row>
    <row r="616" spans="1:4" ht="15.75" customHeight="1" x14ac:dyDescent="0.25">
      <c r="A616" s="10"/>
      <c r="D616" s="9">
        <f>Movimientos[[#This Row],[ENTRADA]]-Movimientos[[#This Row],[SALIDA]]</f>
        <v>0</v>
      </c>
    </row>
    <row r="617" spans="1:4" ht="15.75" customHeight="1" x14ac:dyDescent="0.25">
      <c r="A617" s="10"/>
      <c r="D617" s="9">
        <f>Movimientos[[#This Row],[ENTRADA]]-Movimientos[[#This Row],[SALIDA]]</f>
        <v>0</v>
      </c>
    </row>
    <row r="618" spans="1:4" ht="15.75" customHeight="1" x14ac:dyDescent="0.25">
      <c r="A618" s="10"/>
      <c r="D618" s="9">
        <f>Movimientos[[#This Row],[ENTRADA]]-Movimientos[[#This Row],[SALIDA]]</f>
        <v>0</v>
      </c>
    </row>
    <row r="619" spans="1:4" ht="15.75" customHeight="1" x14ac:dyDescent="0.25">
      <c r="A619" s="10"/>
      <c r="D619" s="9">
        <f>Movimientos[[#This Row],[ENTRADA]]-Movimientos[[#This Row],[SALIDA]]</f>
        <v>0</v>
      </c>
    </row>
    <row r="620" spans="1:4" ht="15.75" customHeight="1" x14ac:dyDescent="0.25">
      <c r="A620" s="10"/>
      <c r="D620" s="9">
        <f>Movimientos[[#This Row],[ENTRADA]]-Movimientos[[#This Row],[SALIDA]]</f>
        <v>0</v>
      </c>
    </row>
    <row r="621" spans="1:4" ht="15.75" customHeight="1" x14ac:dyDescent="0.25">
      <c r="A621" s="10"/>
      <c r="D621" s="9">
        <f>Movimientos[[#This Row],[ENTRADA]]-Movimientos[[#This Row],[SALIDA]]</f>
        <v>0</v>
      </c>
    </row>
    <row r="622" spans="1:4" ht="15.75" customHeight="1" x14ac:dyDescent="0.25">
      <c r="A622" s="10"/>
      <c r="D622" s="9">
        <f>Movimientos[[#This Row],[ENTRADA]]-Movimientos[[#This Row],[SALIDA]]</f>
        <v>0</v>
      </c>
    </row>
    <row r="623" spans="1:4" ht="15.75" customHeight="1" x14ac:dyDescent="0.25">
      <c r="A623" s="10"/>
      <c r="D623" s="9">
        <f>Movimientos[[#This Row],[ENTRADA]]-Movimientos[[#This Row],[SALIDA]]</f>
        <v>0</v>
      </c>
    </row>
    <row r="624" spans="1:4" ht="15.75" customHeight="1" x14ac:dyDescent="0.25">
      <c r="A624" s="10"/>
      <c r="D624" s="9">
        <f>Movimientos[[#This Row],[ENTRADA]]-Movimientos[[#This Row],[SALIDA]]</f>
        <v>0</v>
      </c>
    </row>
    <row r="625" spans="1:9" ht="15.75" customHeight="1" x14ac:dyDescent="0.25">
      <c r="A625" s="10"/>
      <c r="D625" s="9">
        <f>Movimientos[[#This Row],[ENTRADA]]-Movimientos[[#This Row],[SALIDA]]</f>
        <v>0</v>
      </c>
    </row>
    <row r="626" spans="1:9" ht="15.75" customHeight="1" x14ac:dyDescent="0.25">
      <c r="A626" s="10"/>
      <c r="D626" s="9">
        <f>Movimientos[[#This Row],[ENTRADA]]-Movimientos[[#This Row],[SALIDA]]</f>
        <v>0</v>
      </c>
    </row>
    <row r="627" spans="1:9" ht="15.75" customHeight="1" x14ac:dyDescent="0.25">
      <c r="A627" s="10"/>
      <c r="D627" s="9">
        <f>Movimientos[[#This Row],[ENTRADA]]-Movimientos[[#This Row],[SALIDA]]</f>
        <v>0</v>
      </c>
    </row>
    <row r="628" spans="1:9" ht="15.75" customHeight="1" x14ac:dyDescent="0.25">
      <c r="A628" s="10"/>
      <c r="C628" s="30"/>
      <c r="D628" s="9">
        <f>Movimientos[[#This Row],[ENTRADA]]-Movimientos[[#This Row],[SALIDA]]</f>
        <v>0</v>
      </c>
    </row>
    <row r="629" spans="1:9" ht="15.75" customHeight="1" x14ac:dyDescent="0.25">
      <c r="A629" s="10"/>
      <c r="D629" s="9">
        <f>Movimientos[[#This Row],[ENTRADA]]-Movimientos[[#This Row],[SALIDA]]</f>
        <v>0</v>
      </c>
    </row>
    <row r="630" spans="1:9" ht="15.75" customHeight="1" x14ac:dyDescent="0.25">
      <c r="A630" s="10"/>
      <c r="D630" s="9">
        <f>Movimientos[[#This Row],[ENTRADA]]-Movimientos[[#This Row],[SALIDA]]</f>
        <v>0</v>
      </c>
    </row>
    <row r="631" spans="1:9" ht="15.75" customHeight="1" x14ac:dyDescent="0.25">
      <c r="A631" s="10"/>
      <c r="D631" s="9">
        <f>Movimientos[[#This Row],[ENTRADA]]-Movimientos[[#This Row],[SALIDA]]</f>
        <v>0</v>
      </c>
    </row>
    <row r="632" spans="1:9" ht="15.75" customHeight="1" x14ac:dyDescent="0.25">
      <c r="A632" s="10"/>
      <c r="D632" s="9">
        <f>Movimientos[[#This Row],[ENTRADA]]-Movimientos[[#This Row],[SALIDA]]</f>
        <v>0</v>
      </c>
    </row>
    <row r="633" spans="1:9" ht="15.75" customHeight="1" x14ac:dyDescent="0.25">
      <c r="A633" s="10"/>
      <c r="D633" s="9">
        <f>Movimientos[[#This Row],[ENTRADA]]-Movimientos[[#This Row],[SALIDA]]</f>
        <v>0</v>
      </c>
      <c r="I633" s="19"/>
    </row>
    <row r="634" spans="1:9" ht="15.75" customHeight="1" x14ac:dyDescent="0.25">
      <c r="A634" s="10"/>
      <c r="B634" s="29"/>
      <c r="D634" s="9">
        <f>Movimientos[[#This Row],[ENTRADA]]-Movimientos[[#This Row],[SALIDA]]</f>
        <v>0</v>
      </c>
    </row>
    <row r="635" spans="1:9" ht="15.75" customHeight="1" x14ac:dyDescent="0.25">
      <c r="A635" s="10"/>
      <c r="B635" s="29"/>
      <c r="D635" s="9">
        <f>Movimientos[[#This Row],[ENTRADA]]-Movimientos[[#This Row],[SALIDA]]</f>
        <v>0</v>
      </c>
    </row>
    <row r="636" spans="1:9" ht="15.75" customHeight="1" x14ac:dyDescent="0.25">
      <c r="A636" s="10"/>
      <c r="B636" s="29"/>
      <c r="D636" s="9">
        <f>Movimientos[[#This Row],[ENTRADA]]-Movimientos[[#This Row],[SALIDA]]</f>
        <v>0</v>
      </c>
    </row>
    <row r="637" spans="1:9" ht="15.75" customHeight="1" x14ac:dyDescent="0.25">
      <c r="A637" s="10"/>
      <c r="D637" s="9">
        <f>Movimientos[[#This Row],[ENTRADA]]-Movimientos[[#This Row],[SALIDA]]</f>
        <v>0</v>
      </c>
    </row>
    <row r="638" spans="1:9" ht="15.75" customHeight="1" x14ac:dyDescent="0.25">
      <c r="A638" s="10"/>
      <c r="D638" s="9">
        <f>Movimientos[[#This Row],[ENTRADA]]-Movimientos[[#This Row],[SALIDA]]</f>
        <v>0</v>
      </c>
    </row>
    <row r="639" spans="1:9" ht="15.75" customHeight="1" x14ac:dyDescent="0.25">
      <c r="A639" s="10"/>
      <c r="D639" s="9">
        <f>Movimientos[[#This Row],[ENTRADA]]-Movimientos[[#This Row],[SALIDA]]</f>
        <v>0</v>
      </c>
    </row>
    <row r="640" spans="1:9" ht="15.75" customHeight="1" x14ac:dyDescent="0.25">
      <c r="A640" s="10"/>
      <c r="D640" s="9">
        <f>Movimientos[[#This Row],[ENTRADA]]-Movimientos[[#This Row],[SALIDA]]</f>
        <v>0</v>
      </c>
    </row>
    <row r="641" spans="1:10" ht="15.75" customHeight="1" x14ac:dyDescent="0.25">
      <c r="A641" s="10"/>
      <c r="D641" s="9">
        <f>Movimientos[[#This Row],[ENTRADA]]-Movimientos[[#This Row],[SALIDA]]</f>
        <v>0</v>
      </c>
    </row>
    <row r="642" spans="1:10" ht="15.75" customHeight="1" x14ac:dyDescent="0.25">
      <c r="A642" s="10"/>
      <c r="D642" s="9">
        <f>Movimientos[[#This Row],[ENTRADA]]-Movimientos[[#This Row],[SALIDA]]</f>
        <v>0</v>
      </c>
    </row>
    <row r="643" spans="1:10" ht="15.75" customHeight="1" x14ac:dyDescent="0.25">
      <c r="A643" s="10"/>
      <c r="D643" s="9">
        <f>Movimientos[[#This Row],[ENTRADA]]-Movimientos[[#This Row],[SALIDA]]</f>
        <v>0</v>
      </c>
    </row>
    <row r="644" spans="1:10" ht="15.75" customHeight="1" x14ac:dyDescent="0.25">
      <c r="A644" s="10"/>
      <c r="D644" s="9">
        <f>Movimientos[[#This Row],[ENTRADA]]-Movimientos[[#This Row],[SALIDA]]</f>
        <v>0</v>
      </c>
    </row>
    <row r="645" spans="1:10" ht="15.75" customHeight="1" x14ac:dyDescent="0.25">
      <c r="A645" s="10"/>
      <c r="D645" s="9">
        <f>Movimientos[[#This Row],[ENTRADA]]-Movimientos[[#This Row],[SALIDA]]</f>
        <v>0</v>
      </c>
    </row>
    <row r="646" spans="1:10" ht="15.75" customHeight="1" x14ac:dyDescent="0.25">
      <c r="A646" s="10"/>
      <c r="D646" s="9">
        <f>Movimientos[[#This Row],[ENTRADA]]-Movimientos[[#This Row],[SALIDA]]</f>
        <v>0</v>
      </c>
    </row>
    <row r="647" spans="1:10" ht="15.75" customHeight="1" x14ac:dyDescent="0.25">
      <c r="A647" s="10"/>
      <c r="D647" s="9">
        <f>Movimientos[[#This Row],[ENTRADA]]-Movimientos[[#This Row],[SALIDA]]</f>
        <v>0</v>
      </c>
    </row>
    <row r="648" spans="1:10" ht="15.75" customHeight="1" x14ac:dyDescent="0.25">
      <c r="A648" s="10"/>
      <c r="D648" s="9">
        <f>Movimientos[[#This Row],[ENTRADA]]-Movimientos[[#This Row],[SALIDA]]</f>
        <v>0</v>
      </c>
    </row>
    <row r="649" spans="1:10" ht="15.75" customHeight="1" x14ac:dyDescent="0.25">
      <c r="A649" s="10"/>
      <c r="D649" s="9">
        <f>Movimientos[[#This Row],[ENTRADA]]-Movimientos[[#This Row],[SALIDA]]</f>
        <v>0</v>
      </c>
    </row>
    <row r="650" spans="1:10" ht="15.75" customHeight="1" x14ac:dyDescent="0.25">
      <c r="A650" s="10"/>
      <c r="D650" s="9">
        <f>Movimientos[[#This Row],[ENTRADA]]-Movimientos[[#This Row],[SALIDA]]</f>
        <v>0</v>
      </c>
      <c r="J650" s="1"/>
    </row>
    <row r="651" spans="1:10" ht="15.75" customHeight="1" x14ac:dyDescent="0.25">
      <c r="A651" s="10"/>
      <c r="D651" s="9">
        <f>Movimientos[[#This Row],[ENTRADA]]-Movimientos[[#This Row],[SALIDA]]</f>
        <v>0</v>
      </c>
    </row>
    <row r="652" spans="1:10" ht="15.75" customHeight="1" x14ac:dyDescent="0.25">
      <c r="A652" s="10"/>
      <c r="D652" s="9">
        <f>Movimientos[[#This Row],[ENTRADA]]-Movimientos[[#This Row],[SALIDA]]</f>
        <v>0</v>
      </c>
    </row>
    <row r="653" spans="1:10" ht="15.75" customHeight="1" x14ac:dyDescent="0.25">
      <c r="A653" s="10"/>
      <c r="D653" s="9">
        <f>Movimientos[[#This Row],[ENTRADA]]-Movimientos[[#This Row],[SALIDA]]</f>
        <v>0</v>
      </c>
    </row>
    <row r="654" spans="1:10" ht="15.75" customHeight="1" x14ac:dyDescent="0.25">
      <c r="A654" s="10"/>
      <c r="D654" s="9">
        <f>Movimientos[[#This Row],[ENTRADA]]-Movimientos[[#This Row],[SALIDA]]</f>
        <v>0</v>
      </c>
    </row>
    <row r="655" spans="1:10" ht="15.75" customHeight="1" x14ac:dyDescent="0.25">
      <c r="A655" s="10"/>
      <c r="D655" s="9">
        <f>Movimientos[[#This Row],[ENTRADA]]-Movimientos[[#This Row],[SALIDA]]</f>
        <v>0</v>
      </c>
    </row>
    <row r="656" spans="1:10" ht="15.75" customHeight="1" x14ac:dyDescent="0.25">
      <c r="A656" s="10"/>
      <c r="D656" s="9">
        <f>Movimientos[[#This Row],[ENTRADA]]-Movimientos[[#This Row],[SALIDA]]</f>
        <v>0</v>
      </c>
    </row>
    <row r="657" spans="1:4" ht="15.75" customHeight="1" x14ac:dyDescent="0.25">
      <c r="A657" s="10"/>
      <c r="D657" s="9">
        <f>Movimientos[[#This Row],[ENTRADA]]-Movimientos[[#This Row],[SALIDA]]</f>
        <v>0</v>
      </c>
    </row>
    <row r="658" spans="1:4" ht="15.75" customHeight="1" x14ac:dyDescent="0.25">
      <c r="A658" s="10"/>
      <c r="D658" s="9">
        <f>Movimientos[[#This Row],[ENTRADA]]-Movimientos[[#This Row],[SALIDA]]</f>
        <v>0</v>
      </c>
    </row>
    <row r="659" spans="1:4" ht="15.75" customHeight="1" x14ac:dyDescent="0.25">
      <c r="A659" s="10"/>
      <c r="D659" s="9">
        <f>Movimientos[[#This Row],[ENTRADA]]-Movimientos[[#This Row],[SALIDA]]</f>
        <v>0</v>
      </c>
    </row>
    <row r="660" spans="1:4" ht="15.75" customHeight="1" x14ac:dyDescent="0.25">
      <c r="A660" s="10"/>
      <c r="D660" s="9">
        <f>Movimientos[[#This Row],[ENTRADA]]-Movimientos[[#This Row],[SALIDA]]</f>
        <v>0</v>
      </c>
    </row>
    <row r="661" spans="1:4" ht="15.75" customHeight="1" x14ac:dyDescent="0.25">
      <c r="A661" s="10"/>
      <c r="D661" s="9">
        <f>Movimientos[[#This Row],[ENTRADA]]-Movimientos[[#This Row],[SALIDA]]</f>
        <v>0</v>
      </c>
    </row>
    <row r="662" spans="1:4" ht="15.75" customHeight="1" x14ac:dyDescent="0.25">
      <c r="A662" s="10"/>
      <c r="D662" s="9">
        <f>Movimientos[[#This Row],[ENTRADA]]-Movimientos[[#This Row],[SALIDA]]</f>
        <v>0</v>
      </c>
    </row>
    <row r="663" spans="1:4" ht="15.75" customHeight="1" x14ac:dyDescent="0.25">
      <c r="A663" s="10"/>
      <c r="D663" s="9">
        <f>Movimientos[[#This Row],[ENTRADA]]-Movimientos[[#This Row],[SALIDA]]</f>
        <v>0</v>
      </c>
    </row>
    <row r="664" spans="1:4" ht="15.75" customHeight="1" x14ac:dyDescent="0.25">
      <c r="A664" s="10"/>
      <c r="D664" s="9">
        <f>Movimientos[[#This Row],[ENTRADA]]-Movimientos[[#This Row],[SALIDA]]</f>
        <v>0</v>
      </c>
    </row>
    <row r="665" spans="1:4" ht="15.75" customHeight="1" x14ac:dyDescent="0.25">
      <c r="A665" s="10"/>
      <c r="D665" s="9">
        <f>Movimientos[[#This Row],[ENTRADA]]-Movimientos[[#This Row],[SALIDA]]</f>
        <v>0</v>
      </c>
    </row>
    <row r="666" spans="1:4" ht="15.75" customHeight="1" x14ac:dyDescent="0.25">
      <c r="A666" s="10"/>
      <c r="D666" s="9">
        <f>Movimientos[[#This Row],[ENTRADA]]-Movimientos[[#This Row],[SALIDA]]</f>
        <v>0</v>
      </c>
    </row>
    <row r="667" spans="1:4" ht="15.75" customHeight="1" x14ac:dyDescent="0.25">
      <c r="A667" s="10"/>
      <c r="D667" s="9">
        <f>Movimientos[[#This Row],[ENTRADA]]-Movimientos[[#This Row],[SALIDA]]</f>
        <v>0</v>
      </c>
    </row>
    <row r="668" spans="1:4" ht="15.75" customHeight="1" x14ac:dyDescent="0.25">
      <c r="A668" s="10"/>
      <c r="D668" s="9">
        <f>Movimientos[[#This Row],[ENTRADA]]-Movimientos[[#This Row],[SALIDA]]</f>
        <v>0</v>
      </c>
    </row>
    <row r="669" spans="1:4" ht="15.75" customHeight="1" x14ac:dyDescent="0.25">
      <c r="A669" s="10"/>
      <c r="D669" s="9">
        <f>Movimientos[[#This Row],[ENTRADA]]-Movimientos[[#This Row],[SALIDA]]</f>
        <v>0</v>
      </c>
    </row>
    <row r="670" spans="1:4" ht="15.75" customHeight="1" x14ac:dyDescent="0.25">
      <c r="A670" s="10"/>
      <c r="D670" s="9">
        <f>Movimientos[[#This Row],[ENTRADA]]-Movimientos[[#This Row],[SALIDA]]</f>
        <v>0</v>
      </c>
    </row>
    <row r="671" spans="1:4" ht="15.75" customHeight="1" x14ac:dyDescent="0.25">
      <c r="A671" s="10"/>
      <c r="D671" s="9">
        <f>Movimientos[[#This Row],[ENTRADA]]-Movimientos[[#This Row],[SALIDA]]</f>
        <v>0</v>
      </c>
    </row>
    <row r="672" spans="1:4" ht="15.75" customHeight="1" x14ac:dyDescent="0.25">
      <c r="A672" s="10"/>
      <c r="D672" s="9">
        <f>Movimientos[[#This Row],[ENTRADA]]-Movimientos[[#This Row],[SALIDA]]</f>
        <v>0</v>
      </c>
    </row>
    <row r="673" spans="1:4" ht="15.75" customHeight="1" x14ac:dyDescent="0.25">
      <c r="A673" s="10"/>
      <c r="D673" s="9">
        <f>Movimientos[[#This Row],[ENTRADA]]-Movimientos[[#This Row],[SALIDA]]</f>
        <v>0</v>
      </c>
    </row>
    <row r="674" spans="1:4" ht="15.75" customHeight="1" x14ac:dyDescent="0.25">
      <c r="A674" s="10"/>
      <c r="D674" s="9">
        <f>Movimientos[[#This Row],[ENTRADA]]-Movimientos[[#This Row],[SALIDA]]</f>
        <v>0</v>
      </c>
    </row>
    <row r="675" spans="1:4" ht="15.75" customHeight="1" x14ac:dyDescent="0.25">
      <c r="D675" s="9">
        <f>Movimientos[[#This Row],[ENTRADA]]-Movimientos[[#This Row],[SALIDA]]</f>
        <v>0</v>
      </c>
    </row>
    <row r="676" spans="1:4" ht="15.75" customHeight="1" x14ac:dyDescent="0.25">
      <c r="D676" s="9">
        <f>Movimientos[[#This Row],[ENTRADA]]-Movimientos[[#This Row],[SALIDA]]</f>
        <v>0</v>
      </c>
    </row>
    <row r="677" spans="1:4" ht="15.75" customHeight="1" x14ac:dyDescent="0.25">
      <c r="D677" s="9">
        <f>Movimientos[[#This Row],[ENTRADA]]-Movimientos[[#This Row],[SALIDA]]</f>
        <v>0</v>
      </c>
    </row>
  </sheetData>
  <mergeCells count="4">
    <mergeCell ref="J3:K3"/>
    <mergeCell ref="J1:K1"/>
    <mergeCell ref="J2:K2"/>
    <mergeCell ref="J4:K4"/>
  </mergeCells>
  <conditionalFormatting sqref="J1:K1">
    <cfRule type="cellIs" dxfId="35" priority="69" operator="greaterThan">
      <formula>0</formula>
    </cfRule>
  </conditionalFormatting>
  <conditionalFormatting sqref="J1:K1">
    <cfRule type="cellIs" dxfId="34" priority="63" operator="greaterThan">
      <formula>0</formula>
    </cfRule>
    <cfRule type="cellIs" dxfId="33" priority="64" operator="lessThan">
      <formula>0</formula>
    </cfRule>
  </conditionalFormatting>
  <conditionalFormatting sqref="I486">
    <cfRule type="expression" dxfId="32" priority="14">
      <formula>$J$486</formula>
    </cfRule>
  </conditionalFormatting>
  <conditionalFormatting sqref="J2:K2">
    <cfRule type="cellIs" dxfId="31" priority="8" operator="greaterThan">
      <formula>0</formula>
    </cfRule>
  </conditionalFormatting>
  <conditionalFormatting sqref="J2:K2">
    <cfRule type="cellIs" dxfId="30" priority="6" operator="greaterThan">
      <formula>0</formula>
    </cfRule>
    <cfRule type="cellIs" dxfId="29" priority="7" operator="lessThan">
      <formula>0</formula>
    </cfRule>
  </conditionalFormatting>
  <conditionalFormatting sqref="J3:K4">
    <cfRule type="cellIs" dxfId="28" priority="4" operator="greaterThan">
      <formula>0</formula>
    </cfRule>
  </conditionalFormatting>
  <conditionalFormatting sqref="J3:K4">
    <cfRule type="cellIs" dxfId="27" priority="2" operator="greaterThan">
      <formula>0</formula>
    </cfRule>
    <cfRule type="cellIs" dxfId="26" priority="3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B7E99010-E2A1-45B0-89A1-30CD79CEA845}">
            <xm:f>'Hide Data'!$B$1</xm:f>
            <x14:dxf>
              <numFmt numFmtId="173" formatCode=";;;**"/>
            </x14:dxf>
          </x14:cfRule>
          <xm:sqref>J1:K1</xm:sqref>
        </x14:conditionalFormatting>
        <x14:conditionalFormatting xmlns:xm="http://schemas.microsoft.com/office/excel/2006/main">
          <x14:cfRule type="iconSet" priority="12" id="{4363D5FE-A4EB-482B-B03C-504904AB7018}">
            <x14:iconSet custom="1">
              <x14:cfvo type="percent">
                <xm:f>0</xm:f>
              </x14:cfvo>
              <x14:cfvo type="num">
                <xm:f>-0.1</xm:f>
              </x14:cfvo>
              <x14:cfvo type="num" gte="0">
                <xm:f>0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D2:D677</xm:sqref>
        </x14:conditionalFormatting>
        <x14:conditionalFormatting xmlns:xm="http://schemas.microsoft.com/office/excel/2006/main">
          <x14:cfRule type="expression" priority="5" id="{95DC8872-6044-4314-ADC7-3574113A3B1E}">
            <xm:f>'Hide Data'!$B$1</xm:f>
            <x14:dxf>
              <numFmt numFmtId="173" formatCode=";;;**"/>
            </x14:dxf>
          </x14:cfRule>
          <xm:sqref>J2:K2</xm:sqref>
        </x14:conditionalFormatting>
        <x14:conditionalFormatting xmlns:xm="http://schemas.microsoft.com/office/excel/2006/main">
          <x14:cfRule type="expression" priority="1" id="{BC2CD1AB-957D-4659-9D1E-63BD82E6371F}">
            <xm:f>'Hide Data'!$B$1</xm:f>
            <x14:dxf>
              <numFmt numFmtId="173" formatCode=";;;**"/>
            </x14:dxf>
          </x14:cfRule>
          <xm:sqref>J3:K4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PICKLIST!$A$1:$A$7</xm:f>
          </x14:formula1>
          <xm:sqref>E2:E677</xm:sqref>
        </x14:dataValidation>
        <x14:dataValidation type="list" allowBlank="1" showInputMessage="1" showErrorMessage="1" xr:uid="{00000000-0002-0000-0300-000001000000}">
          <x14:formula1>
            <xm:f>PICKLIST!$B:$B</xm:f>
          </x14:formula1>
          <xm:sqref>G2:G677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zoomScale="63" zoomScaleNormal="85" workbookViewId="0">
      <selection activeCell="Z38" sqref="Z38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26"/>
  <sheetViews>
    <sheetView zoomScaleNormal="100" workbookViewId="0">
      <selection activeCell="I11" sqref="I11"/>
    </sheetView>
  </sheetViews>
  <sheetFormatPr baseColWidth="10" defaultColWidth="10.85546875" defaultRowHeight="15" x14ac:dyDescent="0.25"/>
  <cols>
    <col min="1" max="5" width="16.85546875" customWidth="1"/>
    <col min="6" max="6" width="15.140625" bestFit="1" customWidth="1"/>
    <col min="7" max="7" width="17" bestFit="1" customWidth="1"/>
    <col min="9" max="9" width="14.85546875" customWidth="1"/>
    <col min="10" max="10" width="15" customWidth="1"/>
    <col min="11" max="11" width="13.5703125" customWidth="1"/>
    <col min="12" max="12" width="14" bestFit="1" customWidth="1"/>
    <col min="13" max="13" width="14.5703125" bestFit="1" customWidth="1"/>
    <col min="14" max="14" width="20.85546875" customWidth="1"/>
    <col min="15" max="15" width="17.28515625" customWidth="1"/>
    <col min="16" max="16" width="16.140625" bestFit="1" customWidth="1"/>
    <col min="17" max="17" width="13" bestFit="1" customWidth="1"/>
  </cols>
  <sheetData>
    <row r="1" spans="1:15" ht="15.75" thickBot="1" x14ac:dyDescent="0.3">
      <c r="I1" s="55" t="s">
        <v>50</v>
      </c>
      <c r="J1" s="56"/>
      <c r="K1" s="55" t="s">
        <v>54</v>
      </c>
      <c r="L1" s="56"/>
      <c r="N1" s="34" t="str">
        <f>'2023'!I1</f>
        <v>TOTAL(ARG)</v>
      </c>
      <c r="O1" s="33">
        <f>'2023'!J1</f>
        <v>0</v>
      </c>
    </row>
    <row r="2" spans="1:15" ht="15.75" thickBot="1" x14ac:dyDescent="0.3">
      <c r="A2" s="12" t="s">
        <v>8</v>
      </c>
      <c r="B2" s="13" t="s">
        <v>9</v>
      </c>
      <c r="C2" s="13" t="s">
        <v>35</v>
      </c>
      <c r="D2" s="13" t="s">
        <v>7</v>
      </c>
      <c r="E2" s="14" t="s">
        <v>10</v>
      </c>
      <c r="F2" s="13" t="s">
        <v>21</v>
      </c>
      <c r="G2" s="13" t="s">
        <v>41</v>
      </c>
      <c r="I2" s="6" t="s">
        <v>13</v>
      </c>
      <c r="J2" s="25">
        <v>0</v>
      </c>
      <c r="K2" s="6" t="s">
        <v>13</v>
      </c>
      <c r="L2" s="31">
        <v>0</v>
      </c>
      <c r="N2" s="34" t="str">
        <f>'2023'!I2</f>
        <v>Subtotal ARG</v>
      </c>
      <c r="O2" s="33">
        <f>'2023'!J2</f>
        <v>0</v>
      </c>
    </row>
    <row r="3" spans="1:15" ht="15.75" customHeight="1" thickBot="1" x14ac:dyDescent="0.3">
      <c r="A3" s="4" t="s">
        <v>104</v>
      </c>
      <c r="B3" s="15">
        <f>SUMIFS(Movimientos[[#All],[TOTAL]],Movimientos[[#All],[MONEDA]],"USD",Movimientos[[#All],[DESTINO]],A3)</f>
        <v>0</v>
      </c>
      <c r="C3" s="24">
        <f>SUMIFS(Movimientos[[#All],[TOTAL]],Movimientos[[#All],[MONEDA]],"EUR",Movimientos[[#All],[DESTINO]],A3)</f>
        <v>0</v>
      </c>
      <c r="D3" s="5">
        <f>SUMIFS(Movimientos[[#All],[TOTAL]],Movimientos[[#All],[MONEDA]],"ARG",Movimientos[[#All],[DESTINO]],A3)</f>
        <v>0</v>
      </c>
      <c r="E3" s="5">
        <f>Billeteras7[[#This Row],[USD]]*'Dólar hoy '!$B$14+Billeteras7[[#This Row],[EUR]]*'Euro Blue'!$E$5+Billeteras7[[#This Row],[ARG]]</f>
        <v>0</v>
      </c>
      <c r="F3" s="20">
        <f>(Billeteras7[[#This Row],[TOTAL (ARG)]]/100000000)</f>
        <v>0</v>
      </c>
      <c r="I3" s="6" t="s">
        <v>14</v>
      </c>
      <c r="J3" s="7">
        <f xml:space="preserve"> SUM(Billeteras7[USD])</f>
        <v>0</v>
      </c>
      <c r="K3" s="6" t="s">
        <v>14</v>
      </c>
      <c r="L3" s="32">
        <f xml:space="preserve"> SUM(Billeteras7[EUR])</f>
        <v>0</v>
      </c>
      <c r="N3" s="34" t="str">
        <f>'2023'!I3</f>
        <v>Subtotal USD</v>
      </c>
      <c r="O3" s="33">
        <f>'2023'!J3</f>
        <v>0</v>
      </c>
    </row>
    <row r="4" spans="1:15" ht="15.75" customHeight="1" thickBot="1" x14ac:dyDescent="0.3">
      <c r="A4" s="4" t="s">
        <v>105</v>
      </c>
      <c r="B4" s="15">
        <f>SUMIFS(Movimientos[[#All],[TOTAL]],Movimientos[[#All],[MONEDA]],"USD",Movimientos[[#All],[DESTINO]],A4)</f>
        <v>0</v>
      </c>
      <c r="C4" s="24">
        <f>SUMIFS(Movimientos[[#All],[TOTAL]],Movimientos[[#All],[MONEDA]],"EUR",Movimientos[[#All],[DESTINO]],A4)</f>
        <v>0</v>
      </c>
      <c r="D4" s="5">
        <f>SUMIFS(Movimientos[[#All],[TOTAL]],Movimientos[[#All],[MONEDA]],"ARG",Movimientos[[#All],[DESTINO]],A4)</f>
        <v>0</v>
      </c>
      <c r="E4" s="5">
        <f>Billeteras7[[#This Row],[USD]]*'Dólar hoy '!$B$14+Billeteras7[[#This Row],[EUR]]*'Euro Blue'!$E$5+Billeteras7[[#This Row],[ARG]]</f>
        <v>0</v>
      </c>
      <c r="F4" s="20">
        <f>(Billeteras7[[#This Row],[TOTAL (ARG)]]/25000)</f>
        <v>0</v>
      </c>
      <c r="J4" s="1"/>
      <c r="L4" s="19"/>
      <c r="N4" s="34" t="str">
        <f>'2023'!I4</f>
        <v>Subtotal EUR</v>
      </c>
      <c r="O4" s="33">
        <f>'2023'!J4</f>
        <v>0</v>
      </c>
    </row>
    <row r="5" spans="1:15" ht="15.75" customHeight="1" thickBot="1" x14ac:dyDescent="0.3">
      <c r="A5" s="4" t="s">
        <v>106</v>
      </c>
      <c r="B5" s="15">
        <f>SUMIFS(Movimientos[[#All],[TOTAL]],Movimientos[[#All],[MONEDA]],"USD",Movimientos[[#All],[DESTINO]],A5)</f>
        <v>0</v>
      </c>
      <c r="C5" s="24">
        <f>SUMIFS(Movimientos[[#All],[TOTAL]],Movimientos[[#All],[MONEDA]],"EUR",Movimientos[[#All],[DESTINO]],A5)</f>
        <v>0</v>
      </c>
      <c r="D5" s="5">
        <f>SUMIFS(Movimientos[[#All],[TOTAL]],Movimientos[[#All],[MONEDA]],"ARG",Movimientos[[#All],[DESTINO]],A5)</f>
        <v>0</v>
      </c>
      <c r="E5" s="5">
        <f>Billeteras7[[#This Row],[USD]]*'Dólar hoy '!$B$14+Billeteras7[[#This Row],[EUR]]*'Euro Blue'!$E$5+Billeteras7[[#This Row],[ARG]]</f>
        <v>0</v>
      </c>
      <c r="F5" s="20">
        <f>(Billeteras7[[#This Row],[TOTAL (ARG)]]/(2500*4))</f>
        <v>0</v>
      </c>
      <c r="J5" s="19"/>
      <c r="K5" s="19"/>
      <c r="L5" s="19"/>
      <c r="N5" s="44" t="s">
        <v>60</v>
      </c>
      <c r="O5" s="33">
        <f ca="1">Inversiones!J1</f>
        <v>0</v>
      </c>
    </row>
    <row r="6" spans="1:15" ht="15.75" customHeight="1" thickBot="1" x14ac:dyDescent="0.3">
      <c r="A6" s="4"/>
      <c r="B6" s="15">
        <f>SUMIFS(Movimientos[[#All],[TOTAL]],Movimientos[[#All],[MONEDA]],"USD",Movimientos[[#All],[DESTINO]],A6)</f>
        <v>0</v>
      </c>
      <c r="C6" s="24">
        <f>SUMIFS(Movimientos[[#All],[TOTAL]],Movimientos[[#All],[MONEDA]],"EUR",Movimientos[[#All],[DESTINO]],A6)</f>
        <v>0</v>
      </c>
      <c r="D6" s="5">
        <f>SUMIFS(Movimientos[[#All],[TOTAL]],Movimientos[[#All],[MONEDA]],"ARG",Movimientos[[#All],[DESTINO]],A6)</f>
        <v>0</v>
      </c>
      <c r="E6" s="5">
        <f>Billeteras7[[#This Row],[USD]]*'Dólar hoy '!$B$14+Billeteras7[[#This Row],[EUR]]*'Euro Blue'!$E$5+Billeteras7[[#This Row],[ARG]]</f>
        <v>0</v>
      </c>
      <c r="F6" s="20">
        <f>(Billeteras7[[#This Row],[TOTAL (ARG)]]/(2500*4))</f>
        <v>0</v>
      </c>
      <c r="G6" s="8"/>
      <c r="I6" s="58" t="s">
        <v>11</v>
      </c>
      <c r="J6" s="59">
        <f>SUMIF(Movimientos[[#All],[ORIGEN]],I6,Movimientos[[#All],[TOTAL]])</f>
        <v>0</v>
      </c>
      <c r="L6" s="19"/>
      <c r="N6" s="44" t="s">
        <v>59</v>
      </c>
      <c r="O6" s="33">
        <f ca="1">SUM('2023'!J1+O5)</f>
        <v>0</v>
      </c>
    </row>
    <row r="7" spans="1:15" ht="15.75" customHeight="1" x14ac:dyDescent="0.25">
      <c r="A7" s="4"/>
      <c r="B7" s="15">
        <f>SUMIFS(Movimientos[[#All],[TOTAL]],Movimientos[[#All],[MONEDA]],"USD",Movimientos[[#All],[DESTINO]],A7)</f>
        <v>0</v>
      </c>
      <c r="C7" s="24">
        <f>SUMIFS(Movimientos[[#All],[TOTAL]],Movimientos[[#All],[MONEDA]],"EUR",Movimientos[[#All],[DESTINO]],A7)</f>
        <v>0</v>
      </c>
      <c r="D7" s="5">
        <f>SUMIFS(Movimientos[[#All],[TOTAL]],Movimientos[[#All],[MONEDA]],"ARG",Movimientos[[#All],[DESTINO]],A7)</f>
        <v>0</v>
      </c>
      <c r="E7" s="5">
        <f>Billeteras7[[#This Row],[USD]]*'Dólar hoy '!$B$14+Billeteras7[[#This Row],[EUR]]*'Euro Blue'!$E$5+Billeteras7[[#This Row],[ARG]]</f>
        <v>0</v>
      </c>
      <c r="F7" s="20">
        <f>(Billeteras7[[#This Row],[TOTAL (ARG)]]/(2500*4))</f>
        <v>0</v>
      </c>
      <c r="I7" s="58"/>
      <c r="J7" s="59"/>
    </row>
    <row r="8" spans="1:15" ht="15.75" customHeight="1" x14ac:dyDescent="0.25">
      <c r="A8" s="4"/>
      <c r="B8" s="15">
        <f>SUMIFS(Movimientos[[#All],[TOTAL]],Movimientos[[#All],[MONEDA]],"USD",Movimientos[[#All],[DESTINO]],A8)</f>
        <v>0</v>
      </c>
      <c r="C8" s="24">
        <f>SUMIFS(Movimientos[[#All],[TOTAL]],Movimientos[[#All],[MONEDA]],"EUR",Movimientos[[#All],[DESTINO]],A8)</f>
        <v>0</v>
      </c>
      <c r="D8" s="5">
        <f>SUMIFS(Movimientos[[#All],[TOTAL]],Movimientos[[#All],[MONEDA]],"ARG",Movimientos[[#All],[DESTINO]],A8)</f>
        <v>0</v>
      </c>
      <c r="E8" s="5">
        <f>Billeteras7[[#This Row],[USD]]*'Dólar hoy '!$B$14+Billeteras7[[#This Row],[EUR]]*'Euro Blue'!$E$5+Billeteras7[[#This Row],[ARG]]</f>
        <v>0</v>
      </c>
      <c r="F8" s="20">
        <f>(Billeteras7[[#This Row],[TOTAL (ARG)]]/(2500*4))</f>
        <v>0</v>
      </c>
      <c r="I8" s="57" t="s">
        <v>12</v>
      </c>
      <c r="J8" s="57"/>
    </row>
    <row r="9" spans="1:15" ht="15.75" customHeight="1" x14ac:dyDescent="0.25">
      <c r="A9" s="4"/>
      <c r="B9" s="15">
        <f>SUMIFS(Movimientos[[#All],[TOTAL]],Movimientos[[#All],[MONEDA]],"USD",Movimientos[[#All],[DESTINO]],A9)</f>
        <v>0</v>
      </c>
      <c r="C9" s="24">
        <f>SUMIFS(Movimientos[[#All],[TOTAL]],Movimientos[[#All],[MONEDA]],"EUR",Movimientos[[#All],[DESTINO]],A9)</f>
        <v>0</v>
      </c>
      <c r="D9" s="5">
        <f>SUMIFS(Movimientos[[#All],[TOTAL]],Movimientos[[#All],[MONEDA]],"ARG",Movimientos[[#All],[DESTINO]],A9)</f>
        <v>0</v>
      </c>
      <c r="E9" s="5">
        <f>Billeteras7[[#This Row],[USD]]*'Dólar hoy '!$B$14+Billeteras7[[#This Row],[EUR]]*'Euro Blue'!$E$5+Billeteras7[[#This Row],[ARG]]</f>
        <v>0</v>
      </c>
      <c r="F9" s="20">
        <f>(Billeteras7[[#This Row],[TOTAL (ARG)]]/(2500*4))</f>
        <v>0</v>
      </c>
    </row>
    <row r="10" spans="1:15" ht="15.75" customHeight="1" x14ac:dyDescent="0.25">
      <c r="A10" s="4"/>
      <c r="B10" s="15">
        <f>SUMIFS(Movimientos[[#All],[TOTAL]],Movimientos[[#All],[MONEDA]],"USD",Movimientos[[#All],[DESTINO]],A10)</f>
        <v>0</v>
      </c>
      <c r="C10" s="24">
        <f>SUMIFS(Movimientos[[#All],[TOTAL]],Movimientos[[#All],[MONEDA]],"EUR",Movimientos[[#All],[DESTINO]],A10)</f>
        <v>0</v>
      </c>
      <c r="D10" s="5">
        <f>SUMIFS(Movimientos[[#All],[TOTAL]],Movimientos[[#All],[MONEDA]],"ARG",Movimientos[[#All],[DESTINO]],A10)</f>
        <v>0</v>
      </c>
      <c r="E10" s="5">
        <f>Billeteras7[[#This Row],[USD]]*'Dólar hoy '!$B$14+Billeteras7[[#This Row],[EUR]]*'Euro Blue'!$E$5+Billeteras7[[#This Row],[ARG]]</f>
        <v>0</v>
      </c>
      <c r="F10" s="20">
        <f>(Billeteras7[[#This Row],[TOTAL (ARG)]]/(2500*4))</f>
        <v>0</v>
      </c>
    </row>
    <row r="11" spans="1:15" ht="15" customHeight="1" x14ac:dyDescent="0.25">
      <c r="A11" s="4"/>
      <c r="B11" s="15">
        <f>SUMIFS(Movimientos[[#All],[TOTAL]],Movimientos[[#All],[MONEDA]],"USD",Movimientos[[#All],[DESTINO]],A11)</f>
        <v>0</v>
      </c>
      <c r="C11" s="24">
        <f>SUMIFS(Movimientos[[#All],[TOTAL]],Movimientos[[#All],[MONEDA]],"EUR",Movimientos[[#All],[DESTINO]],A11)</f>
        <v>0</v>
      </c>
      <c r="D11" s="5">
        <f>SUMIFS(Movimientos[[#All],[TOTAL]],Movimientos[[#All],[MONEDA]],"ARG",Movimientos[[#All],[DESTINO]],A11)</f>
        <v>0</v>
      </c>
      <c r="E11" s="5">
        <f>Billeteras7[[#This Row],[USD]]*'Dólar hoy '!$B$14+Billeteras7[[#This Row],[EUR]]*'Euro Blue'!$E$5+Billeteras7[[#This Row],[ARG]]</f>
        <v>0</v>
      </c>
      <c r="F11" s="20">
        <f>(Billeteras7[[#This Row],[TOTAL (ARG)]]/(2500*4))</f>
        <v>0</v>
      </c>
    </row>
    <row r="12" spans="1:15" ht="15.75" customHeight="1" x14ac:dyDescent="0.25">
      <c r="A12" s="4"/>
      <c r="B12" s="15">
        <f>SUMIFS(Movimientos[[#All],[TOTAL]],Movimientos[[#All],[MONEDA]],"USD",Movimientos[[#All],[DESTINO]],A12)</f>
        <v>0</v>
      </c>
      <c r="C12" s="24">
        <f>SUMIFS(Movimientos[[#All],[TOTAL]],Movimientos[[#All],[MONEDA]],"EUR",Movimientos[[#All],[DESTINO]],A12)</f>
        <v>0</v>
      </c>
      <c r="D12" s="5">
        <f>SUMIFS(Movimientos[[#All],[TOTAL]],Movimientos[[#All],[MONEDA]],"ARG",Movimientos[[#All],[DESTINO]],A12)</f>
        <v>0</v>
      </c>
      <c r="E12" s="5">
        <f>Billeteras7[[#This Row],[USD]]*'Dólar hoy '!$B$14+Billeteras7[[#This Row],[EUR]]*'Euro Blue'!$E$5+Billeteras7[[#This Row],[ARG]]</f>
        <v>0</v>
      </c>
      <c r="F12" s="20">
        <f>(Billeteras7[[#This Row],[TOTAL (ARG)]]/(2500*4))</f>
        <v>0</v>
      </c>
    </row>
    <row r="13" spans="1:15" ht="15.75" customHeight="1" x14ac:dyDescent="0.25">
      <c r="A13" s="4"/>
      <c r="B13" s="15">
        <f>SUMIFS(Movimientos[[#All],[TOTAL]],Movimientos[[#All],[MONEDA]],"USD",Movimientos[[#All],[DESTINO]],A13)</f>
        <v>0</v>
      </c>
      <c r="C13" s="24">
        <f>SUMIFS(Movimientos[[#All],[TOTAL]],Movimientos[[#All],[MONEDA]],"EUR",Movimientos[[#All],[DESTINO]],A13)</f>
        <v>0</v>
      </c>
      <c r="D13" s="5">
        <f>SUMIFS(Movimientos[[#All],[TOTAL]],Movimientos[[#All],[MONEDA]],"ARG",Movimientos[[#All],[DESTINO]],A13)</f>
        <v>0</v>
      </c>
      <c r="E13" s="5">
        <f>Billeteras7[[#This Row],[USD]]*'Dólar hoy '!$B$14+Billeteras7[[#This Row],[EUR]]*'Euro Blue'!$E$5+Billeteras7[[#This Row],[ARG]]</f>
        <v>0</v>
      </c>
      <c r="F13" s="20">
        <f>(Billeteras7[[#This Row],[TOTAL (ARG)]]/(2500*4))</f>
        <v>0</v>
      </c>
      <c r="I13" s="19"/>
      <c r="J13" s="19"/>
    </row>
    <row r="14" spans="1:15" ht="15.75" customHeight="1" x14ac:dyDescent="0.25">
      <c r="A14" s="4"/>
      <c r="B14" s="15">
        <f>SUMIFS(Movimientos[[#All],[TOTAL]],Movimientos[[#All],[MONEDA]],"USD",Movimientos[[#All],[DESTINO]],A14)</f>
        <v>0</v>
      </c>
      <c r="C14" s="24">
        <f>SUMIFS(Movimientos[[#All],[TOTAL]],Movimientos[[#All],[MONEDA]],"EUR",Movimientos[[#All],[DESTINO]],A14)</f>
        <v>0</v>
      </c>
      <c r="D14" s="5">
        <f>SUMIFS(Movimientos[[#All],[TOTAL]],Movimientos[[#All],[MONEDA]],"ARG",Movimientos[[#All],[DESTINO]],A14)</f>
        <v>0</v>
      </c>
      <c r="E14" s="5">
        <f>Billeteras7[[#This Row],[USD]]*'Dólar hoy '!$B$14+Billeteras7[[#This Row],[EUR]]*'Euro Blue'!$E$5+Billeteras7[[#This Row],[ARG]]</f>
        <v>0</v>
      </c>
      <c r="F14" s="20">
        <f>(Billeteras7[[#This Row],[TOTAL (ARG)]]/(2500*4))</f>
        <v>0</v>
      </c>
      <c r="I14" s="19"/>
    </row>
    <row r="15" spans="1:15" ht="15.75" customHeight="1" x14ac:dyDescent="0.25">
      <c r="A15" s="4"/>
      <c r="B15" s="15">
        <f>SUMIFS(Movimientos[[#All],[TOTAL]],Movimientos[[#All],[MONEDA]],"USD",Movimientos[[#All],[DESTINO]],A15)</f>
        <v>0</v>
      </c>
      <c r="C15" s="24">
        <f>SUMIFS(Movimientos[[#All],[TOTAL]],Movimientos[[#All],[MONEDA]],"EUR",Movimientos[[#All],[DESTINO]],A15)</f>
        <v>0</v>
      </c>
      <c r="D15" s="5">
        <f>SUMIFS(Movimientos[[#All],[TOTAL]],Movimientos[[#All],[MONEDA]],"ARG",Movimientos[[#All],[DESTINO]],A15)</f>
        <v>0</v>
      </c>
      <c r="E15" s="5">
        <f>Billeteras7[[#This Row],[USD]]*'Dólar hoy '!$B$14+Billeteras7[[#This Row],[EUR]]*'Euro Blue'!$E$5+Billeteras7[[#This Row],[ARG]]</f>
        <v>0</v>
      </c>
      <c r="F15" s="20">
        <f>(Billeteras7[[#This Row],[TOTAL (ARG)]]/(2500*4))</f>
        <v>0</v>
      </c>
      <c r="G15" s="19"/>
      <c r="I15" s="19"/>
    </row>
    <row r="16" spans="1:15" ht="15.75" customHeight="1" x14ac:dyDescent="0.25">
      <c r="A16" s="4"/>
      <c r="B16" s="15">
        <f>SUMIFS(Movimientos[[#All],[TOTAL]],Movimientos[[#All],[MONEDA]],"USD",Movimientos[[#All],[DESTINO]],A16)</f>
        <v>0</v>
      </c>
      <c r="C16" s="24">
        <f>SUMIFS(Movimientos[[#All],[TOTAL]],Movimientos[[#All],[MONEDA]],"EUR",Movimientos[[#All],[DESTINO]],A16)</f>
        <v>0</v>
      </c>
      <c r="D16" s="5">
        <f>SUMIFS(Movimientos[[#All],[TOTAL]],Movimientos[[#All],[MONEDA]],"ARG",Movimientos[[#All],[DESTINO]],A16)</f>
        <v>0</v>
      </c>
      <c r="E16" s="5">
        <f>Billeteras7[[#This Row],[USD]]*'Dólar hoy '!$B$14+Billeteras7[[#This Row],[EUR]]*'Euro Blue'!$E$5+Billeteras7[[#This Row],[ARG]]</f>
        <v>0</v>
      </c>
      <c r="F16" s="20">
        <f>(Billeteras7[[#This Row],[TOTAL (ARG)]]/(2500*4))</f>
        <v>0</v>
      </c>
      <c r="I16" s="19"/>
      <c r="J16" s="19"/>
      <c r="L16" s="19"/>
    </row>
    <row r="17" spans="1:10" ht="15.75" customHeight="1" x14ac:dyDescent="0.25">
      <c r="A17" s="4"/>
      <c r="B17" s="15">
        <f>SUMIFS(Movimientos[[#All],[TOTAL]],Movimientos[[#All],[MONEDA]],"USD",Movimientos[[#All],[DESTINO]],A17)</f>
        <v>0</v>
      </c>
      <c r="C17" s="24">
        <f>SUMIFS(Movimientos[[#All],[TOTAL]],Movimientos[[#All],[MONEDA]],"EUR",Movimientos[[#All],[DESTINO]],A17)</f>
        <v>0</v>
      </c>
      <c r="D17" s="5">
        <f>SUMIFS(Movimientos[[#All],[TOTAL]],Movimientos[[#All],[MONEDA]],"ARG",Movimientos[[#All],[DESTINO]],A17)</f>
        <v>0</v>
      </c>
      <c r="E17" s="5">
        <f>Billeteras7[[#This Row],[USD]]*'Dólar hoy '!$B$14+Billeteras7[[#This Row],[EUR]]*'Euro Blue'!$E$5+Billeteras7[[#This Row],[ARG]]</f>
        <v>0</v>
      </c>
      <c r="F17" s="20">
        <f>(Billeteras7[[#This Row],[TOTAL (ARG)]]/(2500*4))</f>
        <v>0</v>
      </c>
    </row>
    <row r="18" spans="1:10" ht="15.75" customHeight="1" x14ac:dyDescent="0.25">
      <c r="A18" s="4"/>
      <c r="B18" s="15">
        <f>SUMIFS(Movimientos[[#All],[TOTAL]],Movimientos[[#All],[MONEDA]],"USD",Movimientos[[#All],[DESTINO]],A18)</f>
        <v>0</v>
      </c>
      <c r="C18" s="24">
        <f>SUMIFS(Movimientos[[#All],[TOTAL]],Movimientos[[#All],[MONEDA]],"EUR",Movimientos[[#All],[DESTINO]],A18)</f>
        <v>0</v>
      </c>
      <c r="D18" s="5">
        <f>SUMIFS(Movimientos[[#All],[TOTAL]],Movimientos[[#All],[MONEDA]],"ARG",Movimientos[[#All],[DESTINO]],A18)</f>
        <v>0</v>
      </c>
      <c r="E18" s="5">
        <f>Billeteras7[[#This Row],[USD]]*'Dólar hoy '!$B$14+Billeteras7[[#This Row],[EUR]]*'Euro Blue'!$E$5+Billeteras7[[#This Row],[ARG]]</f>
        <v>0</v>
      </c>
      <c r="F18" s="20">
        <f>(Billeteras7[[#This Row],[TOTAL (ARG)]]/(2500*4))</f>
        <v>0</v>
      </c>
    </row>
    <row r="19" spans="1:10" x14ac:dyDescent="0.25">
      <c r="J19" s="19"/>
    </row>
    <row r="21" spans="1:10" x14ac:dyDescent="0.25">
      <c r="D21" s="19"/>
    </row>
    <row r="23" spans="1:10" x14ac:dyDescent="0.25">
      <c r="C23" s="46"/>
      <c r="D23" s="46"/>
      <c r="E23" s="46"/>
    </row>
    <row r="26" spans="1:10" x14ac:dyDescent="0.25">
      <c r="D26" s="19"/>
    </row>
  </sheetData>
  <mergeCells count="5">
    <mergeCell ref="I1:J1"/>
    <mergeCell ref="I8:J8"/>
    <mergeCell ref="K1:L1"/>
    <mergeCell ref="I6:I7"/>
    <mergeCell ref="J6:J7"/>
  </mergeCells>
  <conditionalFormatting sqref="L3 B3:E18">
    <cfRule type="cellIs" dxfId="22" priority="22" operator="lessThan">
      <formula>0</formula>
    </cfRule>
    <cfRule type="cellIs" dxfId="21" priority="23" operator="greaterThan">
      <formula>0</formula>
    </cfRule>
  </conditionalFormatting>
  <conditionalFormatting sqref="F3:F18">
    <cfRule type="dataBar" priority="21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{70A29C1F-62B6-4B3E-9A00-7FCE1CA1F372}</x14:id>
        </ext>
      </extLst>
    </cfRule>
  </conditionalFormatting>
  <conditionalFormatting sqref="J2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J3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L2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O1:O6">
    <cfRule type="cellIs" dxfId="14" priority="12" operator="greaterThan">
      <formula>0</formula>
    </cfRule>
  </conditionalFormatting>
  <conditionalFormatting sqref="O1:O6">
    <cfRule type="cellIs" dxfId="13" priority="10" operator="greaterThan">
      <formula>0</formula>
    </cfRule>
    <cfRule type="cellIs" dxfId="12" priority="1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A29C1F-62B6-4B3E-9A00-7FCE1CA1F3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F3:F18</xm:sqref>
        </x14:conditionalFormatting>
        <x14:conditionalFormatting xmlns:xm="http://schemas.microsoft.com/office/excel/2006/main">
          <x14:cfRule type="expression" priority="4" id="{A5311DE8-7674-4183-98C0-B1023379F9E6}">
            <xm:f>'Hide Data'!$B$1</xm:f>
            <x14:dxf>
              <numFmt numFmtId="173" formatCode=";;;**"/>
            </x14:dxf>
          </x14:cfRule>
          <xm:sqref>L3 B3:E18</xm:sqref>
        </x14:conditionalFormatting>
        <x14:conditionalFormatting xmlns:xm="http://schemas.microsoft.com/office/excel/2006/main">
          <x14:cfRule type="expression" priority="7" id="{8E0687BF-3EBE-45BD-BC21-7DEDA2EAF981}">
            <xm:f>'Hide Data'!$B$1</xm:f>
            <x14:dxf>
              <numFmt numFmtId="173" formatCode=";;;**"/>
            </x14:dxf>
          </x14:cfRule>
          <xm:sqref>O1:O6</xm:sqref>
        </x14:conditionalFormatting>
        <x14:conditionalFormatting xmlns:xm="http://schemas.microsoft.com/office/excel/2006/main">
          <x14:cfRule type="expression" priority="5" id="{2F411F92-9857-4ED7-9C57-A3773A29AD71}">
            <xm:f>'Hide Data'!$B$1</xm:f>
            <x14:dxf>
              <numFmt numFmtId="173" formatCode=";;;**"/>
            </x14:dxf>
          </x14:cfRule>
          <xm:sqref>J2:J3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I16"/>
  <sheetViews>
    <sheetView zoomScale="85" zoomScaleNormal="85" workbookViewId="0">
      <selection activeCell="A3" sqref="A3"/>
    </sheetView>
  </sheetViews>
  <sheetFormatPr baseColWidth="10" defaultColWidth="10.85546875" defaultRowHeight="15" x14ac:dyDescent="0.25"/>
  <cols>
    <col min="1" max="1" width="23.85546875" bestFit="1" customWidth="1"/>
    <col min="2" max="2" width="28.42578125" bestFit="1" customWidth="1"/>
    <col min="3" max="3" width="34.5703125" bestFit="1" customWidth="1"/>
    <col min="4" max="4" width="25.7109375" bestFit="1" customWidth="1"/>
    <col min="5" max="5" width="24.5703125" bestFit="1" customWidth="1"/>
    <col min="6" max="6" width="25.7109375" bestFit="1" customWidth="1"/>
    <col min="7" max="7" width="32.42578125" customWidth="1"/>
    <col min="8" max="8" width="44.140625" customWidth="1"/>
    <col min="9" max="9" width="27.85546875" customWidth="1"/>
  </cols>
  <sheetData>
    <row r="1" spans="1:9" ht="26.25" x14ac:dyDescent="0.4">
      <c r="A1" s="22" t="s">
        <v>107</v>
      </c>
      <c r="B1" s="22" t="s">
        <v>40</v>
      </c>
      <c r="C1" s="22" t="s">
        <v>108</v>
      </c>
      <c r="D1" s="22" t="s">
        <v>109</v>
      </c>
      <c r="E1" s="22" t="s">
        <v>110</v>
      </c>
      <c r="F1" s="22" t="s">
        <v>32</v>
      </c>
      <c r="G1" s="22" t="s">
        <v>33</v>
      </c>
      <c r="H1" s="22" t="s">
        <v>53</v>
      </c>
      <c r="I1" s="22" t="s">
        <v>34</v>
      </c>
    </row>
    <row r="2" spans="1:9" ht="26.25" x14ac:dyDescent="0.4">
      <c r="A2" s="48">
        <v>0</v>
      </c>
      <c r="B2" s="23">
        <v>0</v>
      </c>
      <c r="C2" s="23">
        <v>0</v>
      </c>
      <c r="D2" s="23">
        <v>0</v>
      </c>
      <c r="E2" s="23">
        <v>0</v>
      </c>
      <c r="F2" s="23">
        <v>0</v>
      </c>
      <c r="G2" s="38">
        <f>SUM(A2:F2)</f>
        <v>0</v>
      </c>
      <c r="H2" s="38">
        <f>'2023'!J2</f>
        <v>0</v>
      </c>
      <c r="I2" s="41">
        <f>G2-H2</f>
        <v>0</v>
      </c>
    </row>
    <row r="4" spans="1:9" x14ac:dyDescent="0.25">
      <c r="F4" s="30"/>
    </row>
    <row r="5" spans="1:9" x14ac:dyDescent="0.25">
      <c r="C5" s="19"/>
      <c r="D5" s="30"/>
      <c r="E5" s="30"/>
    </row>
    <row r="6" spans="1:9" x14ac:dyDescent="0.25">
      <c r="A6" s="40"/>
      <c r="B6" s="42"/>
      <c r="C6" s="28"/>
      <c r="D6" s="30"/>
    </row>
    <row r="7" spans="1:9" x14ac:dyDescent="0.25">
      <c r="B7" s="30"/>
    </row>
    <row r="8" spans="1:9" x14ac:dyDescent="0.25">
      <c r="B8" s="30"/>
      <c r="C8" s="19"/>
    </row>
    <row r="9" spans="1:9" x14ac:dyDescent="0.25">
      <c r="D9" s="30"/>
    </row>
    <row r="11" spans="1:9" x14ac:dyDescent="0.25">
      <c r="D11" s="30"/>
      <c r="E11" s="30"/>
    </row>
    <row r="16" spans="1:9" x14ac:dyDescent="0.25">
      <c r="C16" s="45"/>
    </row>
  </sheetData>
  <conditionalFormatting sqref="I2">
    <cfRule type="cellIs" dxfId="8" priority="9" operator="between">
      <formula>-1</formula>
      <formula>0.1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117ADDF-AD45-4286-9BDC-DC8DCBD17CE4}">
            <xm:f>'Hide Data'!$B$1</xm:f>
            <x14:dxf>
              <numFmt numFmtId="173" formatCode=";;;**"/>
            </x14:dxf>
          </x14:cfRule>
          <xm:sqref>A2:I2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K9"/>
  <sheetViews>
    <sheetView zoomScale="130" zoomScaleNormal="130" workbookViewId="0">
      <selection activeCell="I7" sqref="I7"/>
    </sheetView>
  </sheetViews>
  <sheetFormatPr baseColWidth="10" defaultColWidth="10.85546875" defaultRowHeight="15" x14ac:dyDescent="0.25"/>
  <cols>
    <col min="1" max="1" width="14.7109375" bestFit="1" customWidth="1"/>
    <col min="2" max="2" width="17.5703125" bestFit="1" customWidth="1"/>
    <col min="3" max="3" width="10.7109375" bestFit="1" customWidth="1"/>
    <col min="4" max="4" width="13.7109375" bestFit="1" customWidth="1"/>
    <col min="5" max="5" width="20.85546875" bestFit="1" customWidth="1"/>
    <col min="6" max="6" width="24.42578125" bestFit="1" customWidth="1"/>
    <col min="7" max="7" width="18.42578125" bestFit="1" customWidth="1"/>
    <col min="8" max="8" width="18.42578125" customWidth="1"/>
    <col min="9" max="9" width="16.42578125" bestFit="1" customWidth="1"/>
    <col min="10" max="10" width="13.5703125" customWidth="1"/>
  </cols>
  <sheetData>
    <row r="1" spans="1:11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48</v>
      </c>
      <c r="G1" t="s">
        <v>46</v>
      </c>
      <c r="H1" t="s">
        <v>49</v>
      </c>
      <c r="I1" t="s">
        <v>58</v>
      </c>
      <c r="J1" s="60">
        <f ca="1">SUM(Inversiones[Capital])-SUMIF(Inversiones[[Tiempo restante ]],"Pagado",Inversiones[Capital])</f>
        <v>0</v>
      </c>
      <c r="K1" s="61"/>
    </row>
    <row r="2" spans="1:11" x14ac:dyDescent="0.25">
      <c r="A2" s="26"/>
      <c r="C2" s="2"/>
      <c r="D2" s="1"/>
      <c r="E2" s="27"/>
      <c r="F2" s="29"/>
      <c r="G2" s="28" t="str">
        <f t="shared" ref="G2:G6" ca="1" si="0">IF((_xlfn.DAYS(TODAY(),A2))&gt;=0,"Pagado",_xlfn.DAYS(TODAY(),A2))</f>
        <v>Pagado</v>
      </c>
      <c r="H2" s="1">
        <f>Inversiones[[#This Row],[Importe al vencimiento]]-Inversiones[[#This Row],[Capital]]</f>
        <v>0</v>
      </c>
      <c r="I2" t="s">
        <v>47</v>
      </c>
      <c r="J2" s="60">
        <f ca="1">SUMIF(Inversiones[[Tiempo restante ]],"Pagado",Inversiones[Ganancia unitaria])</f>
        <v>0</v>
      </c>
      <c r="K2" s="61"/>
    </row>
    <row r="3" spans="1:11" x14ac:dyDescent="0.25">
      <c r="A3" s="26"/>
      <c r="C3" s="2"/>
      <c r="D3" s="1"/>
      <c r="E3" s="27"/>
      <c r="F3" s="29"/>
      <c r="G3" s="28" t="str">
        <f t="shared" ca="1" si="0"/>
        <v>Pagado</v>
      </c>
      <c r="H3" s="1">
        <f>Inversiones[[#This Row],[Importe al vencimiento]]-Inversiones[[#This Row],[Capital]]</f>
        <v>0</v>
      </c>
    </row>
    <row r="4" spans="1:11" x14ac:dyDescent="0.25">
      <c r="A4" s="26"/>
      <c r="C4" s="2"/>
      <c r="D4" s="1"/>
      <c r="E4" s="27"/>
      <c r="F4" s="29"/>
      <c r="G4" s="28" t="str">
        <f t="shared" ca="1" si="0"/>
        <v>Pagado</v>
      </c>
      <c r="H4" s="1">
        <f>Inversiones[[#This Row],[Importe al vencimiento]]-Inversiones[[#This Row],[Capital]]</f>
        <v>0</v>
      </c>
    </row>
    <row r="5" spans="1:11" x14ac:dyDescent="0.25">
      <c r="A5" s="26"/>
      <c r="C5" s="2"/>
      <c r="D5" s="1"/>
      <c r="E5" s="27"/>
      <c r="F5" s="1"/>
      <c r="G5" s="28" t="str">
        <f t="shared" ca="1" si="0"/>
        <v>Pagado</v>
      </c>
      <c r="H5" s="1">
        <f>Inversiones[[#This Row],[Importe al vencimiento]]-Inversiones[[#This Row],[Capital]]</f>
        <v>0</v>
      </c>
    </row>
    <row r="6" spans="1:11" x14ac:dyDescent="0.25">
      <c r="A6" s="26"/>
      <c r="C6" s="2"/>
      <c r="D6" s="1"/>
      <c r="E6" s="27"/>
      <c r="F6" s="1"/>
      <c r="G6" s="28" t="str">
        <f t="shared" ca="1" si="0"/>
        <v>Pagado</v>
      </c>
      <c r="H6" s="1">
        <f>Inversiones[[#This Row],[Importe al vencimiento]]-Inversiones[[#This Row],[Capital]]</f>
        <v>0</v>
      </c>
    </row>
    <row r="9" spans="1:11" x14ac:dyDescent="0.25">
      <c r="G9" s="47"/>
    </row>
  </sheetData>
  <mergeCells count="2">
    <mergeCell ref="J1:K1"/>
    <mergeCell ref="J2:K2"/>
  </mergeCells>
  <conditionalFormatting sqref="G2:G6">
    <cfRule type="cellIs" dxfId="6" priority="8" operator="equal">
      <formula>"Pagado"</formula>
    </cfRule>
  </conditionalFormatting>
  <conditionalFormatting sqref="J1:K1">
    <cfRule type="cellIs" dxfId="5" priority="7" operator="greaterThan">
      <formula>0</formula>
    </cfRule>
  </conditionalFormatting>
  <conditionalFormatting sqref="J1:K1">
    <cfRule type="cellIs" dxfId="4" priority="5" operator="greaterThan">
      <formula>0</formula>
    </cfRule>
    <cfRule type="cellIs" dxfId="3" priority="6" operator="lessThan">
      <formula>0</formula>
    </cfRule>
  </conditionalFormatting>
  <conditionalFormatting sqref="J2:K2">
    <cfRule type="cellIs" dxfId="2" priority="3" operator="greaterThan">
      <formula>0</formula>
    </cfRule>
  </conditionalFormatting>
  <conditionalFormatting sqref="J2:K2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PICKLIST!$A$1:$A$3</xm:f>
          </x14:formula1>
          <xm:sqref>C2:C6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63B6-0253-4B9B-B30F-560FFBF39D0A}">
  <sheetPr codeName="Hoja10"/>
  <dimension ref="A1:B1"/>
  <sheetViews>
    <sheetView topLeftCell="B1" workbookViewId="0">
      <selection sqref="A1:A1048576"/>
    </sheetView>
  </sheetViews>
  <sheetFormatPr baseColWidth="10" defaultColWidth="10.85546875" defaultRowHeight="15" x14ac:dyDescent="0.25"/>
  <cols>
    <col min="1" max="1" width="15.140625" hidden="1" customWidth="1"/>
    <col min="2" max="2" width="12.85546875" customWidth="1"/>
  </cols>
  <sheetData>
    <row r="1" spans="1:2" x14ac:dyDescent="0.25">
      <c r="A1" t="b">
        <v>0</v>
      </c>
      <c r="B1" t="b">
        <f>EXACT(A1,"VERDADERO")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17"/>
  <sheetViews>
    <sheetView workbookViewId="0">
      <selection activeCell="A6" sqref="A6"/>
    </sheetView>
  </sheetViews>
  <sheetFormatPr baseColWidth="10" defaultColWidth="10.85546875" defaultRowHeight="15" x14ac:dyDescent="0.25"/>
  <cols>
    <col min="2" max="2" width="20.28515625" bestFit="1" customWidth="1"/>
  </cols>
  <sheetData>
    <row r="1" spans="1:2" x14ac:dyDescent="0.25">
      <c r="A1" t="s">
        <v>9</v>
      </c>
      <c r="B1" t="str" cm="1">
        <f t="array" ref="B1:B17">Billeteras7[[#All],[Destinos]]</f>
        <v>Destinos</v>
      </c>
    </row>
    <row r="2" spans="1:2" x14ac:dyDescent="0.25">
      <c r="A2" t="s">
        <v>7</v>
      </c>
      <c r="B2" t="str">
        <v>Insumos 1</v>
      </c>
    </row>
    <row r="3" spans="1:2" x14ac:dyDescent="0.25">
      <c r="A3" t="s">
        <v>35</v>
      </c>
      <c r="B3" t="str">
        <v>Insumos 2</v>
      </c>
    </row>
    <row r="4" spans="1:2" x14ac:dyDescent="0.25">
      <c r="A4" t="s">
        <v>51</v>
      </c>
      <c r="B4" t="str">
        <v>RRHH</v>
      </c>
    </row>
    <row r="5" spans="1:2" x14ac:dyDescent="0.25">
      <c r="A5" t="s">
        <v>52</v>
      </c>
      <c r="B5">
        <v>0</v>
      </c>
    </row>
    <row r="6" spans="1:2" x14ac:dyDescent="0.25">
      <c r="B6">
        <v>0</v>
      </c>
    </row>
    <row r="7" spans="1:2" x14ac:dyDescent="0.25">
      <c r="B7">
        <v>0</v>
      </c>
    </row>
    <row r="8" spans="1:2" x14ac:dyDescent="0.25">
      <c r="B8">
        <v>0</v>
      </c>
    </row>
    <row r="9" spans="1:2" x14ac:dyDescent="0.25">
      <c r="B9">
        <v>0</v>
      </c>
    </row>
    <row r="10" spans="1:2" x14ac:dyDescent="0.25">
      <c r="B10">
        <v>0</v>
      </c>
    </row>
    <row r="11" spans="1:2" x14ac:dyDescent="0.25">
      <c r="B11">
        <v>0</v>
      </c>
    </row>
    <row r="12" spans="1:2" x14ac:dyDescent="0.25">
      <c r="B12">
        <v>0</v>
      </c>
    </row>
    <row r="13" spans="1:2" x14ac:dyDescent="0.25">
      <c r="B13">
        <v>0</v>
      </c>
    </row>
    <row r="14" spans="1:2" x14ac:dyDescent="0.25">
      <c r="B14">
        <v>0</v>
      </c>
    </row>
    <row r="15" spans="1:2" x14ac:dyDescent="0.25">
      <c r="B15">
        <v>0</v>
      </c>
    </row>
    <row r="16" spans="1:2" x14ac:dyDescent="0.25">
      <c r="B16">
        <v>0</v>
      </c>
    </row>
    <row r="17" spans="2:2" x14ac:dyDescent="0.25">
      <c r="B1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DE6C11-59E6-415D-A731-FE3945D762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Dólar hoy </vt:lpstr>
      <vt:lpstr>Euro Blue</vt:lpstr>
      <vt:lpstr>2023</vt:lpstr>
      <vt:lpstr>Grafico Ganancias</vt:lpstr>
      <vt:lpstr>BILLETERAS</vt:lpstr>
      <vt:lpstr>validacion</vt:lpstr>
      <vt:lpstr>Inversiones</vt:lpstr>
      <vt:lpstr>Hide Data</vt:lpstr>
      <vt:lpstr>PICKLIST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lecuona</dc:creator>
  <cp:lastModifiedBy>Martin lecuona</cp:lastModifiedBy>
  <dcterms:created xsi:type="dcterms:W3CDTF">2022-01-20T23:12:59Z</dcterms:created>
  <dcterms:modified xsi:type="dcterms:W3CDTF">2023-04-18T16:53:32Z</dcterms:modified>
</cp:coreProperties>
</file>